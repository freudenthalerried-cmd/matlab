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suchsreihe" sheetId="1" state="visible" r:id="rId1"/>
    <sheet name="Rezept" sheetId="2" state="visible" r:id="rId2"/>
    <sheet name="Rezept Geopolym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  <color rgb="000000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3" fillId="0" borderId="0" pivotButton="0" quotePrefix="0" xfId="0"/>
    <xf numFmtId="0" fontId="3" fillId="2" borderId="1" pivotButton="0" quotePrefix="0" xfId="0"/>
    <xf numFmtId="0" fontId="5" fillId="0" borderId="1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L4" authorId="0" shapeId="0">
      <text>
        <t>I = (U_Start+U_Ende)/2 / R_Entlade</t>
      </text>
    </comment>
    <comment ref="M4" authorId="0" shapeId="0">
      <text>
        <t>C = I·Δt / (U_Start−U_Ende)</t>
      </text>
    </comment>
    <comment ref="N4" authorId="0" shapeId="0">
      <text>
        <t>E = ½·C·U_Lade²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5" customWidth="1" min="4" max="4"/>
    <col width="9" customWidth="1" min="5" max="5"/>
    <col width="11" customWidth="1" min="6" max="6"/>
    <col width="10" customWidth="1" min="7" max="7"/>
    <col width="11" customWidth="1" min="8" max="8"/>
    <col width="9" customWidth="1" min="9" max="9"/>
    <col width="9" customWidth="1" min="10" max="10"/>
    <col width="8" customWidth="1" min="11" max="11"/>
    <col width="10" customWidth="1" min="12" max="12"/>
    <col width="9" customWidth="1" min="13" max="13"/>
    <col width="9" customWidth="1" min="14" max="14"/>
    <col width="11" customWidth="1" min="15" max="15"/>
    <col width="11" customWidth="1" min="16" max="16"/>
    <col width="12" customWidth="1" min="17" max="17"/>
    <col width="12" customWidth="1" min="18" max="18"/>
    <col width="24" customWidth="1" min="19" max="19"/>
  </cols>
  <sheetData>
    <row r="1">
      <c r="A1" s="1" t="inlineStr">
        <is>
          <t>Beton-Superkondensator – Versuchsreihe Testblock</t>
        </is>
      </c>
    </row>
    <row r="2">
      <c r="A2" s="2" t="inlineStr">
        <is>
          <t>Gelbe Zellen ausfüllen (Messwerte). Weiße Zellen mit schwarzer Schrift rechnen automatisch. Zeile 4 ist eine Beispielzeile mit fiktiven Werten. Varianten A–D: Portlandzement CEM I (Referenz nach MIT). Varianten G: Geopolymer aus Hüttensand (Blatt „Rezept Geopolymer“).</t>
        </is>
      </c>
    </row>
    <row r="3" ht="42" customHeight="1">
      <c r="A3" s="3" t="inlineStr">
        <is>
          <t>Variante</t>
        </is>
      </c>
      <c r="B3" s="3" t="inlineStr">
        <is>
          <t>Zelle Nr.</t>
        </is>
      </c>
      <c r="C3" s="3" t="inlineStr">
        <is>
          <t>Ruß [% v. Bindemittel]</t>
        </is>
      </c>
      <c r="D3" s="3" t="inlineStr">
        <is>
          <t>Elektrolyt</t>
        </is>
      </c>
      <c r="E3" s="3" t="inlineStr">
        <is>
          <t>Dicke [mm]</t>
        </is>
      </c>
      <c r="F3" s="3" t="inlineStr">
        <is>
          <t>R Elektrode [Ω]</t>
        </is>
      </c>
      <c r="G3" s="3" t="inlineStr">
        <is>
          <t>Ladespg. [V]</t>
        </is>
      </c>
      <c r="H3" s="3" t="inlineStr">
        <is>
          <t>R Entlade [Ω]</t>
        </is>
      </c>
      <c r="I3" s="3" t="inlineStr">
        <is>
          <t>U Start [V]</t>
        </is>
      </c>
      <c r="J3" s="3" t="inlineStr">
        <is>
          <t>U Ende [V]</t>
        </is>
      </c>
      <c r="K3" s="3" t="inlineStr">
        <is>
          <t>Δt [s]</t>
        </is>
      </c>
      <c r="L3" s="3" t="inlineStr">
        <is>
          <t>I mittel [A]</t>
        </is>
      </c>
      <c r="M3" s="3" t="inlineStr">
        <is>
          <t>C [F]</t>
        </is>
      </c>
      <c r="N3" s="3" t="inlineStr">
        <is>
          <t>E [Ws]</t>
        </is>
      </c>
      <c r="O3" s="3" t="inlineStr">
        <is>
          <t>U nach 1 h [V]</t>
        </is>
      </c>
      <c r="P3" s="3" t="inlineStr">
        <is>
          <t>Selbstentl. [%]</t>
        </is>
      </c>
      <c r="Q3" s="3" t="inlineStr">
        <is>
          <t>C nach 50 Zyklen [F]</t>
        </is>
      </c>
      <c r="R3" s="3" t="inlineStr">
        <is>
          <t>Zyklenverlust [%]</t>
        </is>
      </c>
      <c r="S3" s="3" t="inlineStr">
        <is>
          <t>Bemerkung</t>
        </is>
      </c>
    </row>
    <row r="4">
      <c r="A4" s="4" t="inlineStr">
        <is>
          <t>A1</t>
        </is>
      </c>
      <c r="B4" s="4" t="n">
        <v>1</v>
      </c>
      <c r="C4" s="4" t="n">
        <v>5</v>
      </c>
      <c r="D4" s="4" t="inlineStr">
        <is>
          <t>KCl 1 mol/l</t>
        </is>
      </c>
      <c r="E4" s="4" t="n">
        <v>3</v>
      </c>
      <c r="F4" s="5" t="n">
        <v>45</v>
      </c>
      <c r="G4" s="5" t="n">
        <v>1</v>
      </c>
      <c r="H4" s="5" t="n">
        <v>10</v>
      </c>
      <c r="I4" s="5" t="n">
        <v>0.8</v>
      </c>
      <c r="J4" s="5" t="n">
        <v>0.4</v>
      </c>
      <c r="K4" s="5" t="n">
        <v>38</v>
      </c>
      <c r="L4" s="6">
        <f>IF(H4&gt;0,(I4+J4)/2/H4,"")</f>
        <v/>
      </c>
      <c r="M4" s="6">
        <f>IF(AND(K4&gt;0,I4&gt;J4),L4*K4/(I4-J4),"")</f>
        <v/>
      </c>
      <c r="N4" s="6">
        <f>IF(M4&lt;&gt;"",0.5*M4*G4^2,"")</f>
        <v/>
      </c>
      <c r="O4" s="5" t="n">
        <v>0.72</v>
      </c>
      <c r="P4" s="7">
        <f>IF(AND(G4&gt;0,O4&lt;&gt;""),(G4-O4)/G4,"")</f>
        <v/>
      </c>
      <c r="Q4" s="8" t="n"/>
      <c r="R4" s="7">
        <f>IF(AND(M4&lt;&gt;"",Q4&lt;&gt;""),(M4-Q4)/M4,"")</f>
        <v/>
      </c>
      <c r="S4" s="5" t="inlineStr">
        <is>
          <t>Beispiel (fiktiv)</t>
        </is>
      </c>
    </row>
    <row r="5">
      <c r="A5" s="4" t="inlineStr">
        <is>
          <t>A1</t>
        </is>
      </c>
      <c r="B5" s="4" t="n">
        <v>2</v>
      </c>
      <c r="C5" s="4" t="n">
        <v>5</v>
      </c>
      <c r="D5" s="4" t="inlineStr">
        <is>
          <t>KCl 1 mol/l</t>
        </is>
      </c>
      <c r="E5" s="4" t="n">
        <v>3</v>
      </c>
      <c r="F5" s="5" t="n"/>
      <c r="G5" s="5" t="n"/>
      <c r="H5" s="5" t="n"/>
      <c r="I5" s="5" t="n"/>
      <c r="J5" s="5" t="n"/>
      <c r="K5" s="5" t="n"/>
      <c r="L5" s="6">
        <f>IF(H5&gt;0,(I5+J5)/2/H5,"")</f>
        <v/>
      </c>
      <c r="M5" s="6">
        <f>IF(AND(K5&gt;0,I5&gt;J5),L5*K5/(I5-J5),"")</f>
        <v/>
      </c>
      <c r="N5" s="6">
        <f>IF(M5&lt;&gt;"",0.5*M5*G5^2,"")</f>
        <v/>
      </c>
      <c r="O5" s="5" t="n"/>
      <c r="P5" s="7">
        <f>IF(AND(G5&gt;0,O5&lt;&gt;""),(G5-O5)/G5,"")</f>
        <v/>
      </c>
      <c r="Q5" s="8" t="n"/>
      <c r="R5" s="7">
        <f>IF(AND(M5&lt;&gt;"",Q5&lt;&gt;""),(M5-Q5)/M5,"")</f>
        <v/>
      </c>
      <c r="S5" s="5" t="n"/>
    </row>
    <row r="6">
      <c r="A6" s="4" t="inlineStr">
        <is>
          <t>A1</t>
        </is>
      </c>
      <c r="B6" s="4" t="n">
        <v>3</v>
      </c>
      <c r="C6" s="4" t="n">
        <v>5</v>
      </c>
      <c r="D6" s="4" t="inlineStr">
        <is>
          <t>KCl 1 mol/l</t>
        </is>
      </c>
      <c r="E6" s="4" t="n">
        <v>3</v>
      </c>
      <c r="F6" s="5" t="n"/>
      <c r="G6" s="5" t="n"/>
      <c r="H6" s="5" t="n"/>
      <c r="I6" s="5" t="n"/>
      <c r="J6" s="5" t="n"/>
      <c r="K6" s="5" t="n"/>
      <c r="L6" s="6">
        <f>IF(H6&gt;0,(I6+J6)/2/H6,"")</f>
        <v/>
      </c>
      <c r="M6" s="6">
        <f>IF(AND(K6&gt;0,I6&gt;J6),L6*K6/(I6-J6),"")</f>
        <v/>
      </c>
      <c r="N6" s="6">
        <f>IF(M6&lt;&gt;"",0.5*M6*G6^2,"")</f>
        <v/>
      </c>
      <c r="O6" s="5" t="n"/>
      <c r="P6" s="7">
        <f>IF(AND(G6&gt;0,O6&lt;&gt;""),(G6-O6)/G6,"")</f>
        <v/>
      </c>
      <c r="Q6" s="8" t="n"/>
      <c r="R6" s="7">
        <f>IF(AND(M6&lt;&gt;"",Q6&lt;&gt;""),(M6-Q6)/M6,"")</f>
        <v/>
      </c>
      <c r="S6" s="5" t="n"/>
    </row>
    <row r="7">
      <c r="A7" s="4" t="inlineStr">
        <is>
          <t>A2</t>
        </is>
      </c>
      <c r="B7" s="4" t="n">
        <v>1</v>
      </c>
      <c r="C7" s="4" t="n">
        <v>10</v>
      </c>
      <c r="D7" s="4" t="inlineStr">
        <is>
          <t>KCl 1 mol/l</t>
        </is>
      </c>
      <c r="E7" s="4" t="n">
        <v>3</v>
      </c>
      <c r="F7" s="5" t="n"/>
      <c r="G7" s="5" t="n"/>
      <c r="H7" s="5" t="n"/>
      <c r="I7" s="5" t="n"/>
      <c r="J7" s="5" t="n"/>
      <c r="K7" s="5" t="n"/>
      <c r="L7" s="6">
        <f>IF(H7&gt;0,(I7+J7)/2/H7,"")</f>
        <v/>
      </c>
      <c r="M7" s="6">
        <f>IF(AND(K7&gt;0,I7&gt;J7),L7*K7/(I7-J7),"")</f>
        <v/>
      </c>
      <c r="N7" s="6">
        <f>IF(M7&lt;&gt;"",0.5*M7*G7^2,"")</f>
        <v/>
      </c>
      <c r="O7" s="5" t="n"/>
      <c r="P7" s="7">
        <f>IF(AND(G7&gt;0,O7&lt;&gt;""),(G7-O7)/G7,"")</f>
        <v/>
      </c>
      <c r="Q7" s="8" t="n"/>
      <c r="R7" s="7">
        <f>IF(AND(M7&lt;&gt;"",Q7&lt;&gt;""),(M7-Q7)/M7,"")</f>
        <v/>
      </c>
      <c r="S7" s="5" t="n"/>
    </row>
    <row r="8">
      <c r="A8" s="4" t="inlineStr">
        <is>
          <t>A2</t>
        </is>
      </c>
      <c r="B8" s="4" t="n">
        <v>2</v>
      </c>
      <c r="C8" s="4" t="n">
        <v>10</v>
      </c>
      <c r="D8" s="4" t="inlineStr">
        <is>
          <t>KCl 1 mol/l</t>
        </is>
      </c>
      <c r="E8" s="4" t="n">
        <v>3</v>
      </c>
      <c r="F8" s="5" t="n"/>
      <c r="G8" s="5" t="n"/>
      <c r="H8" s="5" t="n"/>
      <c r="I8" s="5" t="n"/>
      <c r="J8" s="5" t="n"/>
      <c r="K8" s="5" t="n"/>
      <c r="L8" s="6">
        <f>IF(H8&gt;0,(I8+J8)/2/H8,"")</f>
        <v/>
      </c>
      <c r="M8" s="6">
        <f>IF(AND(K8&gt;0,I8&gt;J8),L8*K8/(I8-J8),"")</f>
        <v/>
      </c>
      <c r="N8" s="6">
        <f>IF(M8&lt;&gt;"",0.5*M8*G8^2,"")</f>
        <v/>
      </c>
      <c r="O8" s="5" t="n"/>
      <c r="P8" s="7">
        <f>IF(AND(G8&gt;0,O8&lt;&gt;""),(G8-O8)/G8,"")</f>
        <v/>
      </c>
      <c r="Q8" s="8" t="n"/>
      <c r="R8" s="7">
        <f>IF(AND(M8&lt;&gt;"",Q8&lt;&gt;""),(M8-Q8)/M8,"")</f>
        <v/>
      </c>
      <c r="S8" s="5" t="n"/>
    </row>
    <row r="9">
      <c r="A9" s="4" t="inlineStr">
        <is>
          <t>A2</t>
        </is>
      </c>
      <c r="B9" s="4" t="n">
        <v>3</v>
      </c>
      <c r="C9" s="4" t="n">
        <v>10</v>
      </c>
      <c r="D9" s="4" t="inlineStr">
        <is>
          <t>KCl 1 mol/l</t>
        </is>
      </c>
      <c r="E9" s="4" t="n">
        <v>3</v>
      </c>
      <c r="F9" s="5" t="n"/>
      <c r="G9" s="5" t="n"/>
      <c r="H9" s="5" t="n"/>
      <c r="I9" s="5" t="n"/>
      <c r="J9" s="5" t="n"/>
      <c r="K9" s="5" t="n"/>
      <c r="L9" s="6">
        <f>IF(H9&gt;0,(I9+J9)/2/H9,"")</f>
        <v/>
      </c>
      <c r="M9" s="6">
        <f>IF(AND(K9&gt;0,I9&gt;J9),L9*K9/(I9-J9),"")</f>
        <v/>
      </c>
      <c r="N9" s="6">
        <f>IF(M9&lt;&gt;"",0.5*M9*G9^2,"")</f>
        <v/>
      </c>
      <c r="O9" s="5" t="n"/>
      <c r="P9" s="7">
        <f>IF(AND(G9&gt;0,O9&lt;&gt;""),(G9-O9)/G9,"")</f>
        <v/>
      </c>
      <c r="Q9" s="8" t="n"/>
      <c r="R9" s="7">
        <f>IF(AND(M9&lt;&gt;"",Q9&lt;&gt;""),(M9-Q9)/M9,"")</f>
        <v/>
      </c>
      <c r="S9" s="5" t="n"/>
    </row>
    <row r="10">
      <c r="A10" s="4" t="inlineStr">
        <is>
          <t>A3</t>
        </is>
      </c>
      <c r="B10" s="4" t="n">
        <v>1</v>
      </c>
      <c r="C10" s="4" t="n">
        <v>15</v>
      </c>
      <c r="D10" s="4" t="inlineStr">
        <is>
          <t>KCl 1 mol/l</t>
        </is>
      </c>
      <c r="E10" s="4" t="n">
        <v>3</v>
      </c>
      <c r="F10" s="5" t="n"/>
      <c r="G10" s="5" t="n"/>
      <c r="H10" s="5" t="n"/>
      <c r="I10" s="5" t="n"/>
      <c r="J10" s="5" t="n"/>
      <c r="K10" s="5" t="n"/>
      <c r="L10" s="6">
        <f>IF(H10&gt;0,(I10+J10)/2/H10,"")</f>
        <v/>
      </c>
      <c r="M10" s="6">
        <f>IF(AND(K10&gt;0,I10&gt;J10),L10*K10/(I10-J10),"")</f>
        <v/>
      </c>
      <c r="N10" s="6">
        <f>IF(M10&lt;&gt;"",0.5*M10*G10^2,"")</f>
        <v/>
      </c>
      <c r="O10" s="5" t="n"/>
      <c r="P10" s="7">
        <f>IF(AND(G10&gt;0,O10&lt;&gt;""),(G10-O10)/G10,"")</f>
        <v/>
      </c>
      <c r="Q10" s="8" t="n"/>
      <c r="R10" s="7">
        <f>IF(AND(M10&lt;&gt;"",Q10&lt;&gt;""),(M10-Q10)/M10,"")</f>
        <v/>
      </c>
      <c r="S10" s="5" t="n"/>
    </row>
    <row r="11">
      <c r="A11" s="4" t="inlineStr">
        <is>
          <t>A3</t>
        </is>
      </c>
      <c r="B11" s="4" t="n">
        <v>2</v>
      </c>
      <c r="C11" s="4" t="n">
        <v>15</v>
      </c>
      <c r="D11" s="4" t="inlineStr">
        <is>
          <t>KCl 1 mol/l</t>
        </is>
      </c>
      <c r="E11" s="4" t="n">
        <v>3</v>
      </c>
      <c r="F11" s="5" t="n"/>
      <c r="G11" s="5" t="n"/>
      <c r="H11" s="5" t="n"/>
      <c r="I11" s="5" t="n"/>
      <c r="J11" s="5" t="n"/>
      <c r="K11" s="5" t="n"/>
      <c r="L11" s="6">
        <f>IF(H11&gt;0,(I11+J11)/2/H11,"")</f>
        <v/>
      </c>
      <c r="M11" s="6">
        <f>IF(AND(K11&gt;0,I11&gt;J11),L11*K11/(I11-J11),"")</f>
        <v/>
      </c>
      <c r="N11" s="6">
        <f>IF(M11&lt;&gt;"",0.5*M11*G11^2,"")</f>
        <v/>
      </c>
      <c r="O11" s="5" t="n"/>
      <c r="P11" s="7">
        <f>IF(AND(G11&gt;0,O11&lt;&gt;""),(G11-O11)/G11,"")</f>
        <v/>
      </c>
      <c r="Q11" s="8" t="n"/>
      <c r="R11" s="7">
        <f>IF(AND(M11&lt;&gt;"",Q11&lt;&gt;""),(M11-Q11)/M11,"")</f>
        <v/>
      </c>
      <c r="S11" s="5" t="n"/>
    </row>
    <row r="12">
      <c r="A12" s="4" t="inlineStr">
        <is>
          <t>A3</t>
        </is>
      </c>
      <c r="B12" s="4" t="n">
        <v>3</v>
      </c>
      <c r="C12" s="4" t="n">
        <v>15</v>
      </c>
      <c r="D12" s="4" t="inlineStr">
        <is>
          <t>KCl 1 mol/l</t>
        </is>
      </c>
      <c r="E12" s="4" t="n">
        <v>3</v>
      </c>
      <c r="F12" s="5" t="n"/>
      <c r="G12" s="5" t="n"/>
      <c r="H12" s="5" t="n"/>
      <c r="I12" s="5" t="n"/>
      <c r="J12" s="5" t="n"/>
      <c r="K12" s="5" t="n"/>
      <c r="L12" s="6">
        <f>IF(H12&gt;0,(I12+J12)/2/H12,"")</f>
        <v/>
      </c>
      <c r="M12" s="6">
        <f>IF(AND(K12&gt;0,I12&gt;J12),L12*K12/(I12-J12),"")</f>
        <v/>
      </c>
      <c r="N12" s="6">
        <f>IF(M12&lt;&gt;"",0.5*M12*G12^2,"")</f>
        <v/>
      </c>
      <c r="O12" s="5" t="n"/>
      <c r="P12" s="7">
        <f>IF(AND(G12&gt;0,O12&lt;&gt;""),(G12-O12)/G12,"")</f>
        <v/>
      </c>
      <c r="Q12" s="8" t="n"/>
      <c r="R12" s="7">
        <f>IF(AND(M12&lt;&gt;"",Q12&lt;&gt;""),(M12-Q12)/M12,"")</f>
        <v/>
      </c>
      <c r="S12" s="5" t="n"/>
    </row>
    <row r="13">
      <c r="A13" s="4" t="inlineStr">
        <is>
          <t>B1</t>
        </is>
      </c>
      <c r="B13" s="4" t="n">
        <v>1</v>
      </c>
      <c r="C13" s="4" t="n">
        <v>10</v>
      </c>
      <c r="D13" s="4" t="inlineStr">
        <is>
          <t>KCl gesättigt</t>
        </is>
      </c>
      <c r="E13" s="4" t="n">
        <v>3</v>
      </c>
      <c r="F13" s="5" t="n"/>
      <c r="G13" s="5" t="n"/>
      <c r="H13" s="5" t="n"/>
      <c r="I13" s="5" t="n"/>
      <c r="J13" s="5" t="n"/>
      <c r="K13" s="5" t="n"/>
      <c r="L13" s="6">
        <f>IF(H13&gt;0,(I13+J13)/2/H13,"")</f>
        <v/>
      </c>
      <c r="M13" s="6">
        <f>IF(AND(K13&gt;0,I13&gt;J13),L13*K13/(I13-J13),"")</f>
        <v/>
      </c>
      <c r="N13" s="6">
        <f>IF(M13&lt;&gt;"",0.5*M13*G13^2,"")</f>
        <v/>
      </c>
      <c r="O13" s="5" t="n"/>
      <c r="P13" s="7">
        <f>IF(AND(G13&gt;0,O13&lt;&gt;""),(G13-O13)/G13,"")</f>
        <v/>
      </c>
      <c r="Q13" s="8" t="n"/>
      <c r="R13" s="7">
        <f>IF(AND(M13&lt;&gt;"",Q13&lt;&gt;""),(M13-Q13)/M13,"")</f>
        <v/>
      </c>
      <c r="S13" s="5" t="n"/>
    </row>
    <row r="14">
      <c r="A14" s="4" t="inlineStr">
        <is>
          <t>B1</t>
        </is>
      </c>
      <c r="B14" s="4" t="n">
        <v>2</v>
      </c>
      <c r="C14" s="4" t="n">
        <v>10</v>
      </c>
      <c r="D14" s="4" t="inlineStr">
        <is>
          <t>KCl gesättigt</t>
        </is>
      </c>
      <c r="E14" s="4" t="n">
        <v>3</v>
      </c>
      <c r="F14" s="5" t="n"/>
      <c r="G14" s="5" t="n"/>
      <c r="H14" s="5" t="n"/>
      <c r="I14" s="5" t="n"/>
      <c r="J14" s="5" t="n"/>
      <c r="K14" s="5" t="n"/>
      <c r="L14" s="6">
        <f>IF(H14&gt;0,(I14+J14)/2/H14,"")</f>
        <v/>
      </c>
      <c r="M14" s="6">
        <f>IF(AND(K14&gt;0,I14&gt;J14),L14*K14/(I14-J14),"")</f>
        <v/>
      </c>
      <c r="N14" s="6">
        <f>IF(M14&lt;&gt;"",0.5*M14*G14^2,"")</f>
        <v/>
      </c>
      <c r="O14" s="5" t="n"/>
      <c r="P14" s="7">
        <f>IF(AND(G14&gt;0,O14&lt;&gt;""),(G14-O14)/G14,"")</f>
        <v/>
      </c>
      <c r="Q14" s="8" t="n"/>
      <c r="R14" s="7">
        <f>IF(AND(M14&lt;&gt;"",Q14&lt;&gt;""),(M14-Q14)/M14,"")</f>
        <v/>
      </c>
      <c r="S14" s="5" t="n"/>
    </row>
    <row r="15">
      <c r="A15" s="4" t="inlineStr">
        <is>
          <t>B1</t>
        </is>
      </c>
      <c r="B15" s="4" t="n">
        <v>3</v>
      </c>
      <c r="C15" s="4" t="n">
        <v>10</v>
      </c>
      <c r="D15" s="4" t="inlineStr">
        <is>
          <t>KCl gesättigt</t>
        </is>
      </c>
      <c r="E15" s="4" t="n">
        <v>3</v>
      </c>
      <c r="F15" s="5" t="n"/>
      <c r="G15" s="5" t="n"/>
      <c r="H15" s="5" t="n"/>
      <c r="I15" s="5" t="n"/>
      <c r="J15" s="5" t="n"/>
      <c r="K15" s="5" t="n"/>
      <c r="L15" s="6">
        <f>IF(H15&gt;0,(I15+J15)/2/H15,"")</f>
        <v/>
      </c>
      <c r="M15" s="6">
        <f>IF(AND(K15&gt;0,I15&gt;J15),L15*K15/(I15-J15),"")</f>
        <v/>
      </c>
      <c r="N15" s="6">
        <f>IF(M15&lt;&gt;"",0.5*M15*G15^2,"")</f>
        <v/>
      </c>
      <c r="O15" s="5" t="n"/>
      <c r="P15" s="7">
        <f>IF(AND(G15&gt;0,O15&lt;&gt;""),(G15-O15)/G15,"")</f>
        <v/>
      </c>
      <c r="Q15" s="8" t="n"/>
      <c r="R15" s="7">
        <f>IF(AND(M15&lt;&gt;"",Q15&lt;&gt;""),(M15-Q15)/M15,"")</f>
        <v/>
      </c>
      <c r="S15" s="5" t="n"/>
    </row>
    <row r="16">
      <c r="A16" s="4" t="inlineStr">
        <is>
          <t>B2</t>
        </is>
      </c>
      <c r="B16" s="4" t="n">
        <v>1</v>
      </c>
      <c r="C16" s="4" t="n">
        <v>10</v>
      </c>
      <c r="D16" s="4" t="inlineStr">
        <is>
          <t>Na2SO4 1 mol/l</t>
        </is>
      </c>
      <c r="E16" s="4" t="n">
        <v>3</v>
      </c>
      <c r="F16" s="5" t="n"/>
      <c r="G16" s="5" t="n"/>
      <c r="H16" s="5" t="n"/>
      <c r="I16" s="5" t="n"/>
      <c r="J16" s="5" t="n"/>
      <c r="K16" s="5" t="n"/>
      <c r="L16" s="6">
        <f>IF(H16&gt;0,(I16+J16)/2/H16,"")</f>
        <v/>
      </c>
      <c r="M16" s="6">
        <f>IF(AND(K16&gt;0,I16&gt;J16),L16*K16/(I16-J16),"")</f>
        <v/>
      </c>
      <c r="N16" s="6">
        <f>IF(M16&lt;&gt;"",0.5*M16*G16^2,"")</f>
        <v/>
      </c>
      <c r="O16" s="5" t="n"/>
      <c r="P16" s="7">
        <f>IF(AND(G16&gt;0,O16&lt;&gt;""),(G16-O16)/G16,"")</f>
        <v/>
      </c>
      <c r="Q16" s="8" t="n"/>
      <c r="R16" s="7">
        <f>IF(AND(M16&lt;&gt;"",Q16&lt;&gt;""),(M16-Q16)/M16,"")</f>
        <v/>
      </c>
      <c r="S16" s="5" t="n"/>
    </row>
    <row r="17">
      <c r="A17" s="4" t="inlineStr">
        <is>
          <t>B2</t>
        </is>
      </c>
      <c r="B17" s="4" t="n">
        <v>2</v>
      </c>
      <c r="C17" s="4" t="n">
        <v>10</v>
      </c>
      <c r="D17" s="4" t="inlineStr">
        <is>
          <t>Na2SO4 1 mol/l</t>
        </is>
      </c>
      <c r="E17" s="4" t="n">
        <v>3</v>
      </c>
      <c r="F17" s="5" t="n"/>
      <c r="G17" s="5" t="n"/>
      <c r="H17" s="5" t="n"/>
      <c r="I17" s="5" t="n"/>
      <c r="J17" s="5" t="n"/>
      <c r="K17" s="5" t="n"/>
      <c r="L17" s="6">
        <f>IF(H17&gt;0,(I17+J17)/2/H17,"")</f>
        <v/>
      </c>
      <c r="M17" s="6">
        <f>IF(AND(K17&gt;0,I17&gt;J17),L17*K17/(I17-J17),"")</f>
        <v/>
      </c>
      <c r="N17" s="6">
        <f>IF(M17&lt;&gt;"",0.5*M17*G17^2,"")</f>
        <v/>
      </c>
      <c r="O17" s="5" t="n"/>
      <c r="P17" s="7">
        <f>IF(AND(G17&gt;0,O17&lt;&gt;""),(G17-O17)/G17,"")</f>
        <v/>
      </c>
      <c r="Q17" s="8" t="n"/>
      <c r="R17" s="7">
        <f>IF(AND(M17&lt;&gt;"",Q17&lt;&gt;""),(M17-Q17)/M17,"")</f>
        <v/>
      </c>
      <c r="S17" s="5" t="n"/>
    </row>
    <row r="18">
      <c r="A18" s="4" t="inlineStr">
        <is>
          <t>B2</t>
        </is>
      </c>
      <c r="B18" s="4" t="n">
        <v>3</v>
      </c>
      <c r="C18" s="4" t="n">
        <v>10</v>
      </c>
      <c r="D18" s="4" t="inlineStr">
        <is>
          <t>Na2SO4 1 mol/l</t>
        </is>
      </c>
      <c r="E18" s="4" t="n">
        <v>3</v>
      </c>
      <c r="F18" s="5" t="n"/>
      <c r="G18" s="5" t="n"/>
      <c r="H18" s="5" t="n"/>
      <c r="I18" s="5" t="n"/>
      <c r="J18" s="5" t="n"/>
      <c r="K18" s="5" t="n"/>
      <c r="L18" s="6">
        <f>IF(H18&gt;0,(I18+J18)/2/H18,"")</f>
        <v/>
      </c>
      <c r="M18" s="6">
        <f>IF(AND(K18&gt;0,I18&gt;J18),L18*K18/(I18-J18),"")</f>
        <v/>
      </c>
      <c r="N18" s="6">
        <f>IF(M18&lt;&gt;"",0.5*M18*G18^2,"")</f>
        <v/>
      </c>
      <c r="O18" s="5" t="n"/>
      <c r="P18" s="7">
        <f>IF(AND(G18&gt;0,O18&lt;&gt;""),(G18-O18)/G18,"")</f>
        <v/>
      </c>
      <c r="Q18" s="8" t="n"/>
      <c r="R18" s="7">
        <f>IF(AND(M18&lt;&gt;"",Q18&lt;&gt;""),(M18-Q18)/M18,"")</f>
        <v/>
      </c>
      <c r="S18" s="5" t="n"/>
    </row>
    <row r="19">
      <c r="A19" s="4" t="inlineStr">
        <is>
          <t>C1</t>
        </is>
      </c>
      <c r="B19" s="4" t="n">
        <v>1</v>
      </c>
      <c r="C19" s="4" t="n">
        <v>10</v>
      </c>
      <c r="D19" s="4" t="inlineStr">
        <is>
          <t>KCl 1 mol/l</t>
        </is>
      </c>
      <c r="E19" s="4" t="n">
        <v>6</v>
      </c>
      <c r="F19" s="5" t="n"/>
      <c r="G19" s="5" t="n"/>
      <c r="H19" s="5" t="n"/>
      <c r="I19" s="5" t="n"/>
      <c r="J19" s="5" t="n"/>
      <c r="K19" s="5" t="n"/>
      <c r="L19" s="6">
        <f>IF(H19&gt;0,(I19+J19)/2/H19,"")</f>
        <v/>
      </c>
      <c r="M19" s="6">
        <f>IF(AND(K19&gt;0,I19&gt;J19),L19*K19/(I19-J19),"")</f>
        <v/>
      </c>
      <c r="N19" s="6">
        <f>IF(M19&lt;&gt;"",0.5*M19*G19^2,"")</f>
        <v/>
      </c>
      <c r="O19" s="5" t="n"/>
      <c r="P19" s="7">
        <f>IF(AND(G19&gt;0,O19&lt;&gt;""),(G19-O19)/G19,"")</f>
        <v/>
      </c>
      <c r="Q19" s="8" t="n"/>
      <c r="R19" s="7">
        <f>IF(AND(M19&lt;&gt;"",Q19&lt;&gt;""),(M19-Q19)/M19,"")</f>
        <v/>
      </c>
      <c r="S19" s="5" t="n"/>
    </row>
    <row r="20">
      <c r="A20" s="4" t="inlineStr">
        <is>
          <t>C1</t>
        </is>
      </c>
      <c r="B20" s="4" t="n">
        <v>2</v>
      </c>
      <c r="C20" s="4" t="n">
        <v>10</v>
      </c>
      <c r="D20" s="4" t="inlineStr">
        <is>
          <t>KCl 1 mol/l</t>
        </is>
      </c>
      <c r="E20" s="4" t="n">
        <v>6</v>
      </c>
      <c r="F20" s="5" t="n"/>
      <c r="G20" s="5" t="n"/>
      <c r="H20" s="5" t="n"/>
      <c r="I20" s="5" t="n"/>
      <c r="J20" s="5" t="n"/>
      <c r="K20" s="5" t="n"/>
      <c r="L20" s="6">
        <f>IF(H20&gt;0,(I20+J20)/2/H20,"")</f>
        <v/>
      </c>
      <c r="M20" s="6">
        <f>IF(AND(K20&gt;0,I20&gt;J20),L20*K20/(I20-J20),"")</f>
        <v/>
      </c>
      <c r="N20" s="6">
        <f>IF(M20&lt;&gt;"",0.5*M20*G20^2,"")</f>
        <v/>
      </c>
      <c r="O20" s="5" t="n"/>
      <c r="P20" s="7">
        <f>IF(AND(G20&gt;0,O20&lt;&gt;""),(G20-O20)/G20,"")</f>
        <v/>
      </c>
      <c r="Q20" s="8" t="n"/>
      <c r="R20" s="7">
        <f>IF(AND(M20&lt;&gt;"",Q20&lt;&gt;""),(M20-Q20)/M20,"")</f>
        <v/>
      </c>
      <c r="S20" s="5" t="n"/>
    </row>
    <row r="21">
      <c r="A21" s="4" t="inlineStr">
        <is>
          <t>C1</t>
        </is>
      </c>
      <c r="B21" s="4" t="n">
        <v>3</v>
      </c>
      <c r="C21" s="4" t="n">
        <v>10</v>
      </c>
      <c r="D21" s="4" t="inlineStr">
        <is>
          <t>KCl 1 mol/l</t>
        </is>
      </c>
      <c r="E21" s="4" t="n">
        <v>6</v>
      </c>
      <c r="F21" s="5" t="n"/>
      <c r="G21" s="5" t="n"/>
      <c r="H21" s="5" t="n"/>
      <c r="I21" s="5" t="n"/>
      <c r="J21" s="5" t="n"/>
      <c r="K21" s="5" t="n"/>
      <c r="L21" s="6">
        <f>IF(H21&gt;0,(I21+J21)/2/H21,"")</f>
        <v/>
      </c>
      <c r="M21" s="6">
        <f>IF(AND(K21&gt;0,I21&gt;J21),L21*K21/(I21-J21),"")</f>
        <v/>
      </c>
      <c r="N21" s="6">
        <f>IF(M21&lt;&gt;"",0.5*M21*G21^2,"")</f>
        <v/>
      </c>
      <c r="O21" s="5" t="n"/>
      <c r="P21" s="7">
        <f>IF(AND(G21&gt;0,O21&lt;&gt;""),(G21-O21)/G21,"")</f>
        <v/>
      </c>
      <c r="Q21" s="8" t="n"/>
      <c r="R21" s="7">
        <f>IF(AND(M21&lt;&gt;"",Q21&lt;&gt;""),(M21-Q21)/M21,"")</f>
        <v/>
      </c>
      <c r="S21" s="5" t="n"/>
    </row>
    <row r="22">
      <c r="A22" s="4" t="inlineStr">
        <is>
          <t>D1</t>
        </is>
      </c>
      <c r="B22" s="4" t="n">
        <v>1</v>
      </c>
      <c r="C22" s="4" t="n">
        <v>10</v>
      </c>
      <c r="D22" s="4" t="inlineStr">
        <is>
          <t>KOH 1 mol/l</t>
        </is>
      </c>
      <c r="E22" s="4" t="n">
        <v>3</v>
      </c>
      <c r="F22" s="5" t="n"/>
      <c r="G22" s="5" t="n"/>
      <c r="H22" s="5" t="n"/>
      <c r="I22" s="5" t="n"/>
      <c r="J22" s="5" t="n"/>
      <c r="K22" s="5" t="n"/>
      <c r="L22" s="6">
        <f>IF(H22&gt;0,(I22+J22)/2/H22,"")</f>
        <v/>
      </c>
      <c r="M22" s="6">
        <f>IF(AND(K22&gt;0,I22&gt;J22),L22*K22/(I22-J22),"")</f>
        <v/>
      </c>
      <c r="N22" s="6">
        <f>IF(M22&lt;&gt;"",0.5*M22*G22^2,"")</f>
        <v/>
      </c>
      <c r="O22" s="5" t="n"/>
      <c r="P22" s="7">
        <f>IF(AND(G22&gt;0,O22&lt;&gt;""),(G22-O22)/G22,"")</f>
        <v/>
      </c>
      <c r="Q22" s="8" t="n"/>
      <c r="R22" s="7">
        <f>IF(AND(M22&lt;&gt;"",Q22&lt;&gt;""),(M22-Q22)/M22,"")</f>
        <v/>
      </c>
      <c r="S22" s="5" t="n"/>
    </row>
    <row r="23">
      <c r="A23" s="4" t="inlineStr">
        <is>
          <t>D1</t>
        </is>
      </c>
      <c r="B23" s="4" t="n">
        <v>2</v>
      </c>
      <c r="C23" s="4" t="n">
        <v>10</v>
      </c>
      <c r="D23" s="4" t="inlineStr">
        <is>
          <t>KOH 1 mol/l</t>
        </is>
      </c>
      <c r="E23" s="4" t="n">
        <v>3</v>
      </c>
      <c r="F23" s="5" t="n"/>
      <c r="G23" s="5" t="n"/>
      <c r="H23" s="5" t="n"/>
      <c r="I23" s="5" t="n"/>
      <c r="J23" s="5" t="n"/>
      <c r="K23" s="5" t="n"/>
      <c r="L23" s="6">
        <f>IF(H23&gt;0,(I23+J23)/2/H23,"")</f>
        <v/>
      </c>
      <c r="M23" s="6">
        <f>IF(AND(K23&gt;0,I23&gt;J23),L23*K23/(I23-J23),"")</f>
        <v/>
      </c>
      <c r="N23" s="6">
        <f>IF(M23&lt;&gt;"",0.5*M23*G23^2,"")</f>
        <v/>
      </c>
      <c r="O23" s="5" t="n"/>
      <c r="P23" s="7">
        <f>IF(AND(G23&gt;0,O23&lt;&gt;""),(G23-O23)/G23,"")</f>
        <v/>
      </c>
      <c r="Q23" s="8" t="n"/>
      <c r="R23" s="7">
        <f>IF(AND(M23&lt;&gt;"",Q23&lt;&gt;""),(M23-Q23)/M23,"")</f>
        <v/>
      </c>
      <c r="S23" s="5" t="n"/>
    </row>
    <row r="24">
      <c r="A24" s="4" t="inlineStr">
        <is>
          <t>D1</t>
        </is>
      </c>
      <c r="B24" s="4" t="n">
        <v>3</v>
      </c>
      <c r="C24" s="4" t="n">
        <v>10</v>
      </c>
      <c r="D24" s="4" t="inlineStr">
        <is>
          <t>KOH 1 mol/l</t>
        </is>
      </c>
      <c r="E24" s="4" t="n">
        <v>3</v>
      </c>
      <c r="F24" s="5" t="n"/>
      <c r="G24" s="5" t="n"/>
      <c r="H24" s="5" t="n"/>
      <c r="I24" s="5" t="n"/>
      <c r="J24" s="5" t="n"/>
      <c r="K24" s="5" t="n"/>
      <c r="L24" s="6">
        <f>IF(H24&gt;0,(I24+J24)/2/H24,"")</f>
        <v/>
      </c>
      <c r="M24" s="6">
        <f>IF(AND(K24&gt;0,I24&gt;J24),L24*K24/(I24-J24),"")</f>
        <v/>
      </c>
      <c r="N24" s="6">
        <f>IF(M24&lt;&gt;"",0.5*M24*G24^2,"")</f>
        <v/>
      </c>
      <c r="O24" s="5" t="n"/>
      <c r="P24" s="7">
        <f>IF(AND(G24&gt;0,O24&lt;&gt;""),(G24-O24)/G24,"")</f>
        <v/>
      </c>
      <c r="Q24" s="8" t="n"/>
      <c r="R24" s="7">
        <f>IF(AND(M24&lt;&gt;"",Q24&lt;&gt;""),(M24-Q24)/M24,"")</f>
        <v/>
      </c>
      <c r="S24" s="5" t="n"/>
    </row>
    <row r="25">
      <c r="A25" s="4" t="inlineStr">
        <is>
          <t>G1</t>
        </is>
      </c>
      <c r="B25" s="4" t="n">
        <v>1</v>
      </c>
      <c r="C25" s="4" t="n">
        <v>5</v>
      </c>
      <c r="D25" s="4" t="inlineStr">
        <is>
          <t>Geopolymer-Porenlösung</t>
        </is>
      </c>
      <c r="E25" s="4" t="n">
        <v>3</v>
      </c>
      <c r="F25" s="5" t="n"/>
      <c r="G25" s="5" t="n"/>
      <c r="H25" s="5" t="n"/>
      <c r="I25" s="5" t="n"/>
      <c r="J25" s="5" t="n"/>
      <c r="K25" s="5" t="n"/>
      <c r="L25" s="6">
        <f>IF(H25&gt;0,(I25+J25)/2/H25,"")</f>
        <v/>
      </c>
      <c r="M25" s="6">
        <f>IF(AND(K25&gt;0,I25&gt;J25),L25*K25/(I25-J25),"")</f>
        <v/>
      </c>
      <c r="N25" s="6">
        <f>IF(M25&lt;&gt;"",0.5*M25*G25^2,"")</f>
        <v/>
      </c>
      <c r="O25" s="5" t="n"/>
      <c r="P25" s="7">
        <f>IF(AND(G25&gt;0,O25&lt;&gt;""),(G25-O25)/G25,"")</f>
        <v/>
      </c>
      <c r="Q25" s="8" t="n"/>
      <c r="R25" s="7">
        <f>IF(AND(M25&lt;&gt;"",Q25&lt;&gt;""),(M25-Q25)/M25,"")</f>
        <v/>
      </c>
      <c r="S25" s="5" t="n"/>
    </row>
    <row r="26">
      <c r="A26" s="4" t="inlineStr">
        <is>
          <t>G1</t>
        </is>
      </c>
      <c r="B26" s="4" t="n">
        <v>2</v>
      </c>
      <c r="C26" s="4" t="n">
        <v>5</v>
      </c>
      <c r="D26" s="4" t="inlineStr">
        <is>
          <t>Geopolymer-Porenlösung</t>
        </is>
      </c>
      <c r="E26" s="4" t="n">
        <v>3</v>
      </c>
      <c r="F26" s="5" t="n"/>
      <c r="G26" s="5" t="n"/>
      <c r="H26" s="5" t="n"/>
      <c r="I26" s="5" t="n"/>
      <c r="J26" s="5" t="n"/>
      <c r="K26" s="5" t="n"/>
      <c r="L26" s="6">
        <f>IF(H26&gt;0,(I26+J26)/2/H26,"")</f>
        <v/>
      </c>
      <c r="M26" s="6">
        <f>IF(AND(K26&gt;0,I26&gt;J26),L26*K26/(I26-J26),"")</f>
        <v/>
      </c>
      <c r="N26" s="6">
        <f>IF(M26&lt;&gt;"",0.5*M26*G26^2,"")</f>
        <v/>
      </c>
      <c r="O26" s="5" t="n"/>
      <c r="P26" s="7">
        <f>IF(AND(G26&gt;0,O26&lt;&gt;""),(G26-O26)/G26,"")</f>
        <v/>
      </c>
      <c r="Q26" s="8" t="n"/>
      <c r="R26" s="7">
        <f>IF(AND(M26&lt;&gt;"",Q26&lt;&gt;""),(M26-Q26)/M26,"")</f>
        <v/>
      </c>
      <c r="S26" s="5" t="n"/>
    </row>
    <row r="27">
      <c r="A27" s="4" t="inlineStr">
        <is>
          <t>G1</t>
        </is>
      </c>
      <c r="B27" s="4" t="n">
        <v>3</v>
      </c>
      <c r="C27" s="4" t="n">
        <v>5</v>
      </c>
      <c r="D27" s="4" t="inlineStr">
        <is>
          <t>Geopolymer-Porenlösung</t>
        </is>
      </c>
      <c r="E27" s="4" t="n">
        <v>3</v>
      </c>
      <c r="F27" s="5" t="n"/>
      <c r="G27" s="5" t="n"/>
      <c r="H27" s="5" t="n"/>
      <c r="I27" s="5" t="n"/>
      <c r="J27" s="5" t="n"/>
      <c r="K27" s="5" t="n"/>
      <c r="L27" s="6">
        <f>IF(H27&gt;0,(I27+J27)/2/H27,"")</f>
        <v/>
      </c>
      <c r="M27" s="6">
        <f>IF(AND(K27&gt;0,I27&gt;J27),L27*K27/(I27-J27),"")</f>
        <v/>
      </c>
      <c r="N27" s="6">
        <f>IF(M27&lt;&gt;"",0.5*M27*G27^2,"")</f>
        <v/>
      </c>
      <c r="O27" s="5" t="n"/>
      <c r="P27" s="7">
        <f>IF(AND(G27&gt;0,O27&lt;&gt;""),(G27-O27)/G27,"")</f>
        <v/>
      </c>
      <c r="Q27" s="8" t="n"/>
      <c r="R27" s="7">
        <f>IF(AND(M27&lt;&gt;"",Q27&lt;&gt;""),(M27-Q27)/M27,"")</f>
        <v/>
      </c>
      <c r="S27" s="5" t="n"/>
    </row>
    <row r="28">
      <c r="A28" s="4" t="inlineStr">
        <is>
          <t>G2</t>
        </is>
      </c>
      <c r="B28" s="4" t="n">
        <v>1</v>
      </c>
      <c r="C28" s="4" t="n">
        <v>10</v>
      </c>
      <c r="D28" s="4" t="inlineStr">
        <is>
          <t>Geopolymer-Porenlösung</t>
        </is>
      </c>
      <c r="E28" s="4" t="n">
        <v>3</v>
      </c>
      <c r="F28" s="5" t="n"/>
      <c r="G28" s="5" t="n"/>
      <c r="H28" s="5" t="n"/>
      <c r="I28" s="5" t="n"/>
      <c r="J28" s="5" t="n"/>
      <c r="K28" s="5" t="n"/>
      <c r="L28" s="6">
        <f>IF(H28&gt;0,(I28+J28)/2/H28,"")</f>
        <v/>
      </c>
      <c r="M28" s="6">
        <f>IF(AND(K28&gt;0,I28&gt;J28),L28*K28/(I28-J28),"")</f>
        <v/>
      </c>
      <c r="N28" s="6">
        <f>IF(M28&lt;&gt;"",0.5*M28*G28^2,"")</f>
        <v/>
      </c>
      <c r="O28" s="5" t="n"/>
      <c r="P28" s="7">
        <f>IF(AND(G28&gt;0,O28&lt;&gt;""),(G28-O28)/G28,"")</f>
        <v/>
      </c>
      <c r="Q28" s="8" t="n"/>
      <c r="R28" s="7">
        <f>IF(AND(M28&lt;&gt;"",Q28&lt;&gt;""),(M28-Q28)/M28,"")</f>
        <v/>
      </c>
      <c r="S28" s="5" t="n"/>
    </row>
    <row r="29">
      <c r="A29" s="4" t="inlineStr">
        <is>
          <t>G2</t>
        </is>
      </c>
      <c r="B29" s="4" t="n">
        <v>2</v>
      </c>
      <c r="C29" s="4" t="n">
        <v>10</v>
      </c>
      <c r="D29" s="4" t="inlineStr">
        <is>
          <t>Geopolymer-Porenlösung</t>
        </is>
      </c>
      <c r="E29" s="4" t="n">
        <v>3</v>
      </c>
      <c r="F29" s="5" t="n"/>
      <c r="G29" s="5" t="n"/>
      <c r="H29" s="5" t="n"/>
      <c r="I29" s="5" t="n"/>
      <c r="J29" s="5" t="n"/>
      <c r="K29" s="5" t="n"/>
      <c r="L29" s="6">
        <f>IF(H29&gt;0,(I29+J29)/2/H29,"")</f>
        <v/>
      </c>
      <c r="M29" s="6">
        <f>IF(AND(K29&gt;0,I29&gt;J29),L29*K29/(I29-J29),"")</f>
        <v/>
      </c>
      <c r="N29" s="6">
        <f>IF(M29&lt;&gt;"",0.5*M29*G29^2,"")</f>
        <v/>
      </c>
      <c r="O29" s="5" t="n"/>
      <c r="P29" s="7">
        <f>IF(AND(G29&gt;0,O29&lt;&gt;""),(G29-O29)/G29,"")</f>
        <v/>
      </c>
      <c r="Q29" s="8" t="n"/>
      <c r="R29" s="7">
        <f>IF(AND(M29&lt;&gt;"",Q29&lt;&gt;""),(M29-Q29)/M29,"")</f>
        <v/>
      </c>
      <c r="S29" s="5" t="n"/>
    </row>
    <row r="30">
      <c r="A30" s="4" t="inlineStr">
        <is>
          <t>G2</t>
        </is>
      </c>
      <c r="B30" s="4" t="n">
        <v>3</v>
      </c>
      <c r="C30" s="4" t="n">
        <v>10</v>
      </c>
      <c r="D30" s="4" t="inlineStr">
        <is>
          <t>Geopolymer-Porenlösung</t>
        </is>
      </c>
      <c r="E30" s="4" t="n">
        <v>3</v>
      </c>
      <c r="F30" s="5" t="n"/>
      <c r="G30" s="5" t="n"/>
      <c r="H30" s="5" t="n"/>
      <c r="I30" s="5" t="n"/>
      <c r="J30" s="5" t="n"/>
      <c r="K30" s="5" t="n"/>
      <c r="L30" s="6">
        <f>IF(H30&gt;0,(I30+J30)/2/H30,"")</f>
        <v/>
      </c>
      <c r="M30" s="6">
        <f>IF(AND(K30&gt;0,I30&gt;J30),L30*K30/(I30-J30),"")</f>
        <v/>
      </c>
      <c r="N30" s="6">
        <f>IF(M30&lt;&gt;"",0.5*M30*G30^2,"")</f>
        <v/>
      </c>
      <c r="O30" s="5" t="n"/>
      <c r="P30" s="7">
        <f>IF(AND(G30&gt;0,O30&lt;&gt;""),(G30-O30)/G30,"")</f>
        <v/>
      </c>
      <c r="Q30" s="8" t="n"/>
      <c r="R30" s="7">
        <f>IF(AND(M30&lt;&gt;"",Q30&lt;&gt;""),(M30-Q30)/M30,"")</f>
        <v/>
      </c>
      <c r="S30" s="5" t="n"/>
    </row>
    <row r="31">
      <c r="A31" s="4" t="inlineStr">
        <is>
          <t>G3</t>
        </is>
      </c>
      <c r="B31" s="4" t="n">
        <v>1</v>
      </c>
      <c r="C31" s="4" t="n">
        <v>15</v>
      </c>
      <c r="D31" s="4" t="inlineStr">
        <is>
          <t>Geopolymer-Porenlösung</t>
        </is>
      </c>
      <c r="E31" s="4" t="n">
        <v>3</v>
      </c>
      <c r="F31" s="5" t="n"/>
      <c r="G31" s="5" t="n"/>
      <c r="H31" s="5" t="n"/>
      <c r="I31" s="5" t="n"/>
      <c r="J31" s="5" t="n"/>
      <c r="K31" s="5" t="n"/>
      <c r="L31" s="6">
        <f>IF(H31&gt;0,(I31+J31)/2/H31,"")</f>
        <v/>
      </c>
      <c r="M31" s="6">
        <f>IF(AND(K31&gt;0,I31&gt;J31),L31*K31/(I31-J31),"")</f>
        <v/>
      </c>
      <c r="N31" s="6">
        <f>IF(M31&lt;&gt;"",0.5*M31*G31^2,"")</f>
        <v/>
      </c>
      <c r="O31" s="5" t="n"/>
      <c r="P31" s="7">
        <f>IF(AND(G31&gt;0,O31&lt;&gt;""),(G31-O31)/G31,"")</f>
        <v/>
      </c>
      <c r="Q31" s="8" t="n"/>
      <c r="R31" s="7">
        <f>IF(AND(M31&lt;&gt;"",Q31&lt;&gt;""),(M31-Q31)/M31,"")</f>
        <v/>
      </c>
      <c r="S31" s="5" t="n"/>
    </row>
    <row r="32">
      <c r="A32" s="4" t="inlineStr">
        <is>
          <t>G3</t>
        </is>
      </c>
      <c r="B32" s="4" t="n">
        <v>2</v>
      </c>
      <c r="C32" s="4" t="n">
        <v>15</v>
      </c>
      <c r="D32" s="4" t="inlineStr">
        <is>
          <t>Geopolymer-Porenlösung</t>
        </is>
      </c>
      <c r="E32" s="4" t="n">
        <v>3</v>
      </c>
      <c r="F32" s="5" t="n"/>
      <c r="G32" s="5" t="n"/>
      <c r="H32" s="5" t="n"/>
      <c r="I32" s="5" t="n"/>
      <c r="J32" s="5" t="n"/>
      <c r="K32" s="5" t="n"/>
      <c r="L32" s="6">
        <f>IF(H32&gt;0,(I32+J32)/2/H32,"")</f>
        <v/>
      </c>
      <c r="M32" s="6">
        <f>IF(AND(K32&gt;0,I32&gt;J32),L32*K32/(I32-J32),"")</f>
        <v/>
      </c>
      <c r="N32" s="6">
        <f>IF(M32&lt;&gt;"",0.5*M32*G32^2,"")</f>
        <v/>
      </c>
      <c r="O32" s="5" t="n"/>
      <c r="P32" s="7">
        <f>IF(AND(G32&gt;0,O32&lt;&gt;""),(G32-O32)/G32,"")</f>
        <v/>
      </c>
      <c r="Q32" s="8" t="n"/>
      <c r="R32" s="7">
        <f>IF(AND(M32&lt;&gt;"",Q32&lt;&gt;""),(M32-Q32)/M32,"")</f>
        <v/>
      </c>
      <c r="S32" s="5" t="n"/>
    </row>
    <row r="33">
      <c r="A33" s="4" t="inlineStr">
        <is>
          <t>G3</t>
        </is>
      </c>
      <c r="B33" s="4" t="n">
        <v>3</v>
      </c>
      <c r="C33" s="4" t="n">
        <v>15</v>
      </c>
      <c r="D33" s="4" t="inlineStr">
        <is>
          <t>Geopolymer-Porenlösung</t>
        </is>
      </c>
      <c r="E33" s="4" t="n">
        <v>3</v>
      </c>
      <c r="F33" s="5" t="n"/>
      <c r="G33" s="5" t="n"/>
      <c r="H33" s="5" t="n"/>
      <c r="I33" s="5" t="n"/>
      <c r="J33" s="5" t="n"/>
      <c r="K33" s="5" t="n"/>
      <c r="L33" s="6">
        <f>IF(H33&gt;0,(I33+J33)/2/H33,"")</f>
        <v/>
      </c>
      <c r="M33" s="6">
        <f>IF(AND(K33&gt;0,I33&gt;J33),L33*K33/(I33-J33),"")</f>
        <v/>
      </c>
      <c r="N33" s="6">
        <f>IF(M33&lt;&gt;"",0.5*M33*G33^2,"")</f>
        <v/>
      </c>
      <c r="O33" s="5" t="n"/>
      <c r="P33" s="7">
        <f>IF(AND(G33&gt;0,O33&lt;&gt;""),(G33-O33)/G33,"")</f>
        <v/>
      </c>
      <c r="Q33" s="8" t="n"/>
      <c r="R33" s="7">
        <f>IF(AND(M33&lt;&gt;"",Q33&lt;&gt;""),(M33-Q33)/M33,"")</f>
        <v/>
      </c>
      <c r="S33" s="5" t="n"/>
    </row>
    <row r="34">
      <c r="A34" s="4" t="inlineStr">
        <is>
          <t>G4</t>
        </is>
      </c>
      <c r="B34" s="4" t="n">
        <v>1</v>
      </c>
      <c r="C34" s="4" t="n">
        <v>10</v>
      </c>
      <c r="D34" s="4" t="inlineStr">
        <is>
          <t>Geopolymer + KOH 1 mol/l</t>
        </is>
      </c>
      <c r="E34" s="4" t="n">
        <v>3</v>
      </c>
      <c r="F34" s="5" t="n"/>
      <c r="G34" s="5" t="n"/>
      <c r="H34" s="5" t="n"/>
      <c r="I34" s="5" t="n"/>
      <c r="J34" s="5" t="n"/>
      <c r="K34" s="5" t="n"/>
      <c r="L34" s="6">
        <f>IF(H34&gt;0,(I34+J34)/2/H34,"")</f>
        <v/>
      </c>
      <c r="M34" s="6">
        <f>IF(AND(K34&gt;0,I34&gt;J34),L34*K34/(I34-J34),"")</f>
        <v/>
      </c>
      <c r="N34" s="6">
        <f>IF(M34&lt;&gt;"",0.5*M34*G34^2,"")</f>
        <v/>
      </c>
      <c r="O34" s="5" t="n"/>
      <c r="P34" s="7">
        <f>IF(AND(G34&gt;0,O34&lt;&gt;""),(G34-O34)/G34,"")</f>
        <v/>
      </c>
      <c r="Q34" s="8" t="n"/>
      <c r="R34" s="7">
        <f>IF(AND(M34&lt;&gt;"",Q34&lt;&gt;""),(M34-Q34)/M34,"")</f>
        <v/>
      </c>
      <c r="S34" s="5" t="n"/>
    </row>
    <row r="35">
      <c r="A35" s="4" t="inlineStr">
        <is>
          <t>G4</t>
        </is>
      </c>
      <c r="B35" s="4" t="n">
        <v>2</v>
      </c>
      <c r="C35" s="4" t="n">
        <v>10</v>
      </c>
      <c r="D35" s="4" t="inlineStr">
        <is>
          <t>Geopolymer + KOH 1 mol/l</t>
        </is>
      </c>
      <c r="E35" s="4" t="n">
        <v>3</v>
      </c>
      <c r="F35" s="5" t="n"/>
      <c r="G35" s="5" t="n"/>
      <c r="H35" s="5" t="n"/>
      <c r="I35" s="5" t="n"/>
      <c r="J35" s="5" t="n"/>
      <c r="K35" s="5" t="n"/>
      <c r="L35" s="6">
        <f>IF(H35&gt;0,(I35+J35)/2/H35,"")</f>
        <v/>
      </c>
      <c r="M35" s="6">
        <f>IF(AND(K35&gt;0,I35&gt;J35),L35*K35/(I35-J35),"")</f>
        <v/>
      </c>
      <c r="N35" s="6">
        <f>IF(M35&lt;&gt;"",0.5*M35*G35^2,"")</f>
        <v/>
      </c>
      <c r="O35" s="5" t="n"/>
      <c r="P35" s="7">
        <f>IF(AND(G35&gt;0,O35&lt;&gt;""),(G35-O35)/G35,"")</f>
        <v/>
      </c>
      <c r="Q35" s="8" t="n"/>
      <c r="R35" s="7">
        <f>IF(AND(M35&lt;&gt;"",Q35&lt;&gt;""),(M35-Q35)/M35,"")</f>
        <v/>
      </c>
      <c r="S35" s="5" t="n"/>
    </row>
    <row r="36">
      <c r="A36" s="4" t="inlineStr">
        <is>
          <t>G4</t>
        </is>
      </c>
      <c r="B36" s="4" t="n">
        <v>3</v>
      </c>
      <c r="C36" s="4" t="n">
        <v>10</v>
      </c>
      <c r="D36" s="4" t="inlineStr">
        <is>
          <t>Geopolymer + KOH 1 mol/l</t>
        </is>
      </c>
      <c r="E36" s="4" t="n">
        <v>3</v>
      </c>
      <c r="F36" s="5" t="n"/>
      <c r="G36" s="5" t="n"/>
      <c r="H36" s="5" t="n"/>
      <c r="I36" s="5" t="n"/>
      <c r="J36" s="5" t="n"/>
      <c r="K36" s="5" t="n"/>
      <c r="L36" s="6">
        <f>IF(H36&gt;0,(I36+J36)/2/H36,"")</f>
        <v/>
      </c>
      <c r="M36" s="6">
        <f>IF(AND(K36&gt;0,I36&gt;J36),L36*K36/(I36-J36),"")</f>
        <v/>
      </c>
      <c r="N36" s="6">
        <f>IF(M36&lt;&gt;"",0.5*M36*G36^2,"")</f>
        <v/>
      </c>
      <c r="O36" s="5" t="n"/>
      <c r="P36" s="7">
        <f>IF(AND(G36&gt;0,O36&lt;&gt;""),(G36-O36)/G36,"")</f>
        <v/>
      </c>
      <c r="Q36" s="8" t="n"/>
      <c r="R36" s="7">
        <f>IF(AND(M36&lt;&gt;"",Q36&lt;&gt;""),(M36-Q36)/M36,"")</f>
        <v/>
      </c>
      <c r="S36" s="5" t="n"/>
    </row>
    <row r="37">
      <c r="A37" s="4" t="inlineStr">
        <is>
          <t>G5</t>
        </is>
      </c>
      <c r="B37" s="4" t="n">
        <v>1</v>
      </c>
      <c r="C37" s="4" t="n">
        <v>10</v>
      </c>
      <c r="D37" s="4" t="inlineStr">
        <is>
          <t>Geopolymer + Agar-Gel KCl</t>
        </is>
      </c>
      <c r="E37" s="4" t="n">
        <v>3</v>
      </c>
      <c r="F37" s="5" t="n"/>
      <c r="G37" s="5" t="n"/>
      <c r="H37" s="5" t="n"/>
      <c r="I37" s="5" t="n"/>
      <c r="J37" s="5" t="n"/>
      <c r="K37" s="5" t="n"/>
      <c r="L37" s="6">
        <f>IF(H37&gt;0,(I37+J37)/2/H37,"")</f>
        <v/>
      </c>
      <c r="M37" s="6">
        <f>IF(AND(K37&gt;0,I37&gt;J37),L37*K37/(I37-J37),"")</f>
        <v/>
      </c>
      <c r="N37" s="6">
        <f>IF(M37&lt;&gt;"",0.5*M37*G37^2,"")</f>
        <v/>
      </c>
      <c r="O37" s="5" t="n"/>
      <c r="P37" s="7">
        <f>IF(AND(G37&gt;0,O37&lt;&gt;""),(G37-O37)/G37,"")</f>
        <v/>
      </c>
      <c r="Q37" s="8" t="n"/>
      <c r="R37" s="7">
        <f>IF(AND(M37&lt;&gt;"",Q37&lt;&gt;""),(M37-Q37)/M37,"")</f>
        <v/>
      </c>
      <c r="S37" s="5" t="n"/>
    </row>
    <row r="38">
      <c r="A38" s="4" t="inlineStr">
        <is>
          <t>G5</t>
        </is>
      </c>
      <c r="B38" s="4" t="n">
        <v>2</v>
      </c>
      <c r="C38" s="4" t="n">
        <v>10</v>
      </c>
      <c r="D38" s="4" t="inlineStr">
        <is>
          <t>Geopolymer + Agar-Gel KCl</t>
        </is>
      </c>
      <c r="E38" s="4" t="n">
        <v>3</v>
      </c>
      <c r="F38" s="5" t="n"/>
      <c r="G38" s="5" t="n"/>
      <c r="H38" s="5" t="n"/>
      <c r="I38" s="5" t="n"/>
      <c r="J38" s="5" t="n"/>
      <c r="K38" s="5" t="n"/>
      <c r="L38" s="6">
        <f>IF(H38&gt;0,(I38+J38)/2/H38,"")</f>
        <v/>
      </c>
      <c r="M38" s="6">
        <f>IF(AND(K38&gt;0,I38&gt;J38),L38*K38/(I38-J38),"")</f>
        <v/>
      </c>
      <c r="N38" s="6">
        <f>IF(M38&lt;&gt;"",0.5*M38*G38^2,"")</f>
        <v/>
      </c>
      <c r="O38" s="5" t="n"/>
      <c r="P38" s="7">
        <f>IF(AND(G38&gt;0,O38&lt;&gt;""),(G38-O38)/G38,"")</f>
        <v/>
      </c>
      <c r="Q38" s="8" t="n"/>
      <c r="R38" s="7">
        <f>IF(AND(M38&lt;&gt;"",Q38&lt;&gt;""),(M38-Q38)/M38,"")</f>
        <v/>
      </c>
      <c r="S38" s="5" t="n"/>
    </row>
    <row r="39">
      <c r="A39" s="4" t="inlineStr">
        <is>
          <t>G5</t>
        </is>
      </c>
      <c r="B39" s="4" t="n">
        <v>3</v>
      </c>
      <c r="C39" s="4" t="n">
        <v>10</v>
      </c>
      <c r="D39" s="4" t="inlineStr">
        <is>
          <t>Geopolymer + Agar-Gel KCl</t>
        </is>
      </c>
      <c r="E39" s="4" t="n">
        <v>3</v>
      </c>
      <c r="F39" s="5" t="n"/>
      <c r="G39" s="5" t="n"/>
      <c r="H39" s="5" t="n"/>
      <c r="I39" s="5" t="n"/>
      <c r="J39" s="5" t="n"/>
      <c r="K39" s="5" t="n"/>
      <c r="L39" s="6">
        <f>IF(H39&gt;0,(I39+J39)/2/H39,"")</f>
        <v/>
      </c>
      <c r="M39" s="6">
        <f>IF(AND(K39&gt;0,I39&gt;J39),L39*K39/(I39-J39),"")</f>
        <v/>
      </c>
      <c r="N39" s="6">
        <f>IF(M39&lt;&gt;"",0.5*M39*G39^2,"")</f>
        <v/>
      </c>
      <c r="O39" s="5" t="n"/>
      <c r="P39" s="7">
        <f>IF(AND(G39&gt;0,O39&lt;&gt;""),(G39-O39)/G39,"")</f>
        <v/>
      </c>
      <c r="Q39" s="8" t="n"/>
      <c r="R39" s="7">
        <f>IF(AND(M39&lt;&gt;"",Q39&lt;&gt;""),(M39-Q39)/M39,"")</f>
        <v/>
      </c>
      <c r="S39" s="5" t="n"/>
    </row>
    <row r="41">
      <c r="A41" s="9" t="inlineStr">
        <is>
          <t>Auswertung je Variante</t>
        </is>
      </c>
    </row>
    <row r="42">
      <c r="A42" s="10" t="inlineStr">
        <is>
          <t>Variante</t>
        </is>
      </c>
      <c r="B42" s="10" t="inlineStr">
        <is>
          <t>Ruß [%]</t>
        </is>
      </c>
      <c r="C42" s="10" t="inlineStr">
        <is>
          <t>Elektrolyt</t>
        </is>
      </c>
      <c r="D42" s="10" t="inlineStr">
        <is>
          <t>Dicke [mm]</t>
        </is>
      </c>
      <c r="E42" s="10" t="inlineStr">
        <is>
          <t>C Mittel [F]</t>
        </is>
      </c>
      <c r="F42" s="10" t="inlineStr">
        <is>
          <t>E Mittel [Ws]</t>
        </is>
      </c>
      <c r="G42" s="10" t="inlineStr">
        <is>
          <t>Selbstentl. Mittel [%]</t>
        </is>
      </c>
    </row>
    <row r="43">
      <c r="A43" s="11" t="inlineStr">
        <is>
          <t>A1</t>
        </is>
      </c>
      <c r="B43" s="11" t="n">
        <v>5</v>
      </c>
      <c r="C43" s="11" t="inlineStr">
        <is>
          <t>KCl 1 mol/l</t>
        </is>
      </c>
      <c r="D43" s="11" t="n">
        <v>3</v>
      </c>
      <c r="E43" s="6">
        <f>IFERROR(AVERAGEIF($A$4:$A$39,A43,$M$4:$M$39),"")</f>
        <v/>
      </c>
      <c r="F43" s="6">
        <f>IFERROR(AVERAGEIF($A$4:$A$39,A43,$N$4:$N$39),"")</f>
        <v/>
      </c>
      <c r="G43" s="7">
        <f>IFERROR(AVERAGEIF($A$4:$A$39,A43,$P$4:$P$39),"")</f>
        <v/>
      </c>
    </row>
    <row r="44">
      <c r="A44" s="11" t="inlineStr">
        <is>
          <t>A2</t>
        </is>
      </c>
      <c r="B44" s="11" t="n">
        <v>10</v>
      </c>
      <c r="C44" s="11" t="inlineStr">
        <is>
          <t>KCl 1 mol/l</t>
        </is>
      </c>
      <c r="D44" s="11" t="n">
        <v>3</v>
      </c>
      <c r="E44" s="6">
        <f>IFERROR(AVERAGEIF($A$4:$A$39,A44,$M$4:$M$39),"")</f>
        <v/>
      </c>
      <c r="F44" s="6">
        <f>IFERROR(AVERAGEIF($A$4:$A$39,A44,$N$4:$N$39),"")</f>
        <v/>
      </c>
      <c r="G44" s="7">
        <f>IFERROR(AVERAGEIF($A$4:$A$39,A44,$P$4:$P$39),"")</f>
        <v/>
      </c>
    </row>
    <row r="45">
      <c r="A45" s="11" t="inlineStr">
        <is>
          <t>A3</t>
        </is>
      </c>
      <c r="B45" s="11" t="n">
        <v>15</v>
      </c>
      <c r="C45" s="11" t="inlineStr">
        <is>
          <t>KCl 1 mol/l</t>
        </is>
      </c>
      <c r="D45" s="11" t="n">
        <v>3</v>
      </c>
      <c r="E45" s="6">
        <f>IFERROR(AVERAGEIF($A$4:$A$39,A45,$M$4:$M$39),"")</f>
        <v/>
      </c>
      <c r="F45" s="6">
        <f>IFERROR(AVERAGEIF($A$4:$A$39,A45,$N$4:$N$39),"")</f>
        <v/>
      </c>
      <c r="G45" s="7">
        <f>IFERROR(AVERAGEIF($A$4:$A$39,A45,$P$4:$P$39),"")</f>
        <v/>
      </c>
    </row>
    <row r="46">
      <c r="A46" s="11" t="inlineStr">
        <is>
          <t>B1</t>
        </is>
      </c>
      <c r="B46" s="11" t="n">
        <v>10</v>
      </c>
      <c r="C46" s="11" t="inlineStr">
        <is>
          <t>KCl gesättigt</t>
        </is>
      </c>
      <c r="D46" s="11" t="n">
        <v>3</v>
      </c>
      <c r="E46" s="6">
        <f>IFERROR(AVERAGEIF($A$4:$A$39,A46,$M$4:$M$39),"")</f>
        <v/>
      </c>
      <c r="F46" s="6">
        <f>IFERROR(AVERAGEIF($A$4:$A$39,A46,$N$4:$N$39),"")</f>
        <v/>
      </c>
      <c r="G46" s="7">
        <f>IFERROR(AVERAGEIF($A$4:$A$39,A46,$P$4:$P$39),"")</f>
        <v/>
      </c>
    </row>
    <row r="47">
      <c r="A47" s="11" t="inlineStr">
        <is>
          <t>B2</t>
        </is>
      </c>
      <c r="B47" s="11" t="n">
        <v>10</v>
      </c>
      <c r="C47" s="11" t="inlineStr">
        <is>
          <t>Na2SO4 1 mol/l</t>
        </is>
      </c>
      <c r="D47" s="11" t="n">
        <v>3</v>
      </c>
      <c r="E47" s="6">
        <f>IFERROR(AVERAGEIF($A$4:$A$39,A47,$M$4:$M$39),"")</f>
        <v/>
      </c>
      <c r="F47" s="6">
        <f>IFERROR(AVERAGEIF($A$4:$A$39,A47,$N$4:$N$39),"")</f>
        <v/>
      </c>
      <c r="G47" s="7">
        <f>IFERROR(AVERAGEIF($A$4:$A$39,A47,$P$4:$P$39),"")</f>
        <v/>
      </c>
    </row>
    <row r="48">
      <c r="A48" s="11" t="inlineStr">
        <is>
          <t>C1</t>
        </is>
      </c>
      <c r="B48" s="11" t="n">
        <v>10</v>
      </c>
      <c r="C48" s="11" t="inlineStr">
        <is>
          <t>KCl 1 mol/l</t>
        </is>
      </c>
      <c r="D48" s="11" t="n">
        <v>6</v>
      </c>
      <c r="E48" s="6">
        <f>IFERROR(AVERAGEIF($A$4:$A$39,A48,$M$4:$M$39),"")</f>
        <v/>
      </c>
      <c r="F48" s="6">
        <f>IFERROR(AVERAGEIF($A$4:$A$39,A48,$N$4:$N$39),"")</f>
        <v/>
      </c>
      <c r="G48" s="7">
        <f>IFERROR(AVERAGEIF($A$4:$A$39,A48,$P$4:$P$39),"")</f>
        <v/>
      </c>
    </row>
    <row r="49">
      <c r="A49" s="11" t="inlineStr">
        <is>
          <t>D1</t>
        </is>
      </c>
      <c r="B49" s="11" t="n">
        <v>10</v>
      </c>
      <c r="C49" s="11" t="inlineStr">
        <is>
          <t>KOH 1 mol/l</t>
        </is>
      </c>
      <c r="D49" s="11" t="n">
        <v>3</v>
      </c>
      <c r="E49" s="6">
        <f>IFERROR(AVERAGEIF($A$4:$A$39,A49,$M$4:$M$39),"")</f>
        <v/>
      </c>
      <c r="F49" s="6">
        <f>IFERROR(AVERAGEIF($A$4:$A$39,A49,$N$4:$N$39),"")</f>
        <v/>
      </c>
      <c r="G49" s="7">
        <f>IFERROR(AVERAGEIF($A$4:$A$39,A49,$P$4:$P$39),"")</f>
        <v/>
      </c>
    </row>
    <row r="50">
      <c r="A50" s="11" t="inlineStr">
        <is>
          <t>G1</t>
        </is>
      </c>
      <c r="B50" s="11" t="n">
        <v>5</v>
      </c>
      <c r="C50" s="11" t="inlineStr">
        <is>
          <t>Geopolymer-Porenlösung</t>
        </is>
      </c>
      <c r="D50" s="11" t="n">
        <v>3</v>
      </c>
      <c r="E50" s="6">
        <f>IFERROR(AVERAGEIF($A$4:$A$39,A50,$M$4:$M$39),"")</f>
        <v/>
      </c>
      <c r="F50" s="6">
        <f>IFERROR(AVERAGEIF($A$4:$A$39,A50,$N$4:$N$39),"")</f>
        <v/>
      </c>
      <c r="G50" s="7">
        <f>IFERROR(AVERAGEIF($A$4:$A$39,A50,$P$4:$P$39),"")</f>
        <v/>
      </c>
    </row>
    <row r="51">
      <c r="A51" s="11" t="inlineStr">
        <is>
          <t>G2</t>
        </is>
      </c>
      <c r="B51" s="11" t="n">
        <v>10</v>
      </c>
      <c r="C51" s="11" t="inlineStr">
        <is>
          <t>Geopolymer-Porenlösung</t>
        </is>
      </c>
      <c r="D51" s="11" t="n">
        <v>3</v>
      </c>
      <c r="E51" s="6">
        <f>IFERROR(AVERAGEIF($A$4:$A$39,A51,$M$4:$M$39),"")</f>
        <v/>
      </c>
      <c r="F51" s="6">
        <f>IFERROR(AVERAGEIF($A$4:$A$39,A51,$N$4:$N$39),"")</f>
        <v/>
      </c>
      <c r="G51" s="7">
        <f>IFERROR(AVERAGEIF($A$4:$A$39,A51,$P$4:$P$39),"")</f>
        <v/>
      </c>
    </row>
    <row r="52">
      <c r="A52" s="11" t="inlineStr">
        <is>
          <t>G3</t>
        </is>
      </c>
      <c r="B52" s="11" t="n">
        <v>15</v>
      </c>
      <c r="C52" s="11" t="inlineStr">
        <is>
          <t>Geopolymer-Porenlösung</t>
        </is>
      </c>
      <c r="D52" s="11" t="n">
        <v>3</v>
      </c>
      <c r="E52" s="6">
        <f>IFERROR(AVERAGEIF($A$4:$A$39,A52,$M$4:$M$39),"")</f>
        <v/>
      </c>
      <c r="F52" s="6">
        <f>IFERROR(AVERAGEIF($A$4:$A$39,A52,$N$4:$N$39),"")</f>
        <v/>
      </c>
      <c r="G52" s="7">
        <f>IFERROR(AVERAGEIF($A$4:$A$39,A52,$P$4:$P$39),"")</f>
        <v/>
      </c>
    </row>
    <row r="53">
      <c r="A53" s="11" t="inlineStr">
        <is>
          <t>G4</t>
        </is>
      </c>
      <c r="B53" s="11" t="n">
        <v>10</v>
      </c>
      <c r="C53" s="11" t="inlineStr">
        <is>
          <t>Geopolymer + KOH 1 mol/l</t>
        </is>
      </c>
      <c r="D53" s="11" t="n">
        <v>3</v>
      </c>
      <c r="E53" s="6">
        <f>IFERROR(AVERAGEIF($A$4:$A$39,A53,$M$4:$M$39),"")</f>
        <v/>
      </c>
      <c r="F53" s="6">
        <f>IFERROR(AVERAGEIF($A$4:$A$39,A53,$N$4:$N$39),"")</f>
        <v/>
      </c>
      <c r="G53" s="7">
        <f>IFERROR(AVERAGEIF($A$4:$A$39,A53,$P$4:$P$39),"")</f>
        <v/>
      </c>
    </row>
    <row r="54">
      <c r="A54" s="11" t="inlineStr">
        <is>
          <t>G5</t>
        </is>
      </c>
      <c r="B54" s="11" t="n">
        <v>10</v>
      </c>
      <c r="C54" s="11" t="inlineStr">
        <is>
          <t>Geopolymer + Agar-Gel KCl</t>
        </is>
      </c>
      <c r="D54" s="11" t="n">
        <v>3</v>
      </c>
      <c r="E54" s="6">
        <f>IFERROR(AVERAGEIF($A$4:$A$39,A54,$M$4:$M$39),"")</f>
        <v/>
      </c>
      <c r="F54" s="6">
        <f>IFERROR(AVERAGEIF($A$4:$A$39,A54,$N$4:$N$39),"")</f>
        <v/>
      </c>
      <c r="G54" s="7">
        <f>IFERROR(AVERAGEIF($A$4:$A$39,A54,$P$4:$P$39),"")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50" customWidth="1" min="3" max="3"/>
  </cols>
  <sheetData>
    <row r="1">
      <c r="A1" s="12" t="inlineStr">
        <is>
          <t>Material</t>
        </is>
      </c>
      <c r="B1" s="12" t="inlineStr">
        <is>
          <t>Menge</t>
        </is>
      </c>
      <c r="C1" s="12" t="inlineStr">
        <is>
          <t>Hinweis</t>
        </is>
      </c>
    </row>
    <row r="2">
      <c r="A2" s="13" t="inlineStr">
        <is>
          <t>Portlandzement CEM I 42,5</t>
        </is>
      </c>
      <c r="B2" s="13" t="inlineStr">
        <is>
          <t>1 kg</t>
        </is>
      </c>
      <c r="C2" s="13" t="inlineStr">
        <is>
          <t>feiner Zement, kein Estrichzement</t>
        </is>
      </c>
    </row>
    <row r="3">
      <c r="A3" s="13" t="inlineStr">
        <is>
          <t>Ruß (Carbon Black), z.B. Ketjenblack EC-600JD / Vulcan XC72</t>
        </is>
      </c>
      <c r="B3" s="13" t="inlineStr">
        <is>
          <t>50–150 g (5–15 % v. Zement)</t>
        </is>
      </c>
      <c r="C3" s="13" t="inlineStr">
        <is>
          <t>Pigment-Ruß aus dem Baumarkt funktioniert schlecht</t>
        </is>
      </c>
    </row>
    <row r="4">
      <c r="A4" s="13" t="inlineStr">
        <is>
          <t>Wasser</t>
        </is>
      </c>
      <c r="B4" s="13" t="inlineStr">
        <is>
          <t>ca. 450 ml (w/z = 0,45)</t>
        </is>
      </c>
      <c r="C4" s="13" t="inlineStr">
        <is>
          <t>plus Fließmittel (PCE)</t>
        </is>
      </c>
    </row>
    <row r="5">
      <c r="A5" s="13" t="inlineStr">
        <is>
          <t>Kaliumchlorid KCl</t>
        </is>
      </c>
      <c r="B5" s="13" t="inlineStr">
        <is>
          <t>75 g/l = 1 mol/l</t>
        </is>
      </c>
      <c r="C5" s="13" t="inlineStr">
        <is>
          <t>gesättigt: ca. 340 g/l</t>
        </is>
      </c>
    </row>
    <row r="6">
      <c r="A6" s="13" t="inlineStr">
        <is>
          <t>Natriumsulfat Na2SO4</t>
        </is>
      </c>
      <c r="B6" s="13" t="inlineStr">
        <is>
          <t>142 g/l = 1 mol/l</t>
        </is>
      </c>
      <c r="C6" s="13" t="inlineStr">
        <is>
          <t>Vergleichs-Elektrolyt</t>
        </is>
      </c>
    </row>
    <row r="7">
      <c r="A7" s="13" t="inlineStr">
        <is>
          <t>Stromableiter</t>
        </is>
      </c>
      <c r="B7" s="13" t="inlineStr">
        <is>
          <t>2 je Zelle, 10×10 cm</t>
        </is>
      </c>
      <c r="C7" s="13" t="inlineStr">
        <is>
          <t>Edelstahlgewebe V4A oder Karbonvlies; kein Kupfer/Alu</t>
        </is>
      </c>
    </row>
    <row r="8">
      <c r="A8" s="13" t="inlineStr">
        <is>
          <t>Separator</t>
        </is>
      </c>
      <c r="B8" s="13" t="inlineStr">
        <is>
          <t>1 je Zelle</t>
        </is>
      </c>
      <c r="C8" s="13" t="inlineStr">
        <is>
          <t>Glasfaservlies oder Filterpapier, im Elektrolyt getränkt</t>
        </is>
      </c>
    </row>
    <row r="9">
      <c r="A9" s="13" t="inlineStr">
        <is>
          <t>Form</t>
        </is>
      </c>
      <c r="B9" s="13" t="inlineStr">
        <is>
          <t>10×10 cm, 3 bzw. 6 mm tief</t>
        </is>
      </c>
      <c r="C9" s="13" t="inlineStr">
        <is>
          <t>Silikon oder PP</t>
        </is>
      </c>
    </row>
    <row r="10">
      <c r="A10" s="13" t="n"/>
      <c r="B10" s="13" t="n"/>
      <c r="C10" s="13" t="n"/>
    </row>
    <row r="11">
      <c r="A11" s="12" t="inlineStr">
        <is>
          <t>Ablauf</t>
        </is>
      </c>
      <c r="B11" s="13" t="n"/>
      <c r="C11" s="13" t="n"/>
    </row>
    <row r="12">
      <c r="A12" s="13" t="inlineStr">
        <is>
          <t>1</t>
        </is>
      </c>
      <c r="B12" s="13" t="inlineStr">
        <is>
          <t>Ruß + Wasser + Fließmittel 2 min mit Stabmixer dispergieren (FFP2-Maske)</t>
        </is>
      </c>
      <c r="C12" s="13" t="n"/>
    </row>
    <row r="13">
      <c r="A13" s="13" t="inlineStr">
        <is>
          <t>2</t>
        </is>
      </c>
      <c r="B13" s="13" t="inlineStr">
        <is>
          <t>Zement einrühren, 3 min mischen</t>
        </is>
      </c>
      <c r="C13" s="13" t="n"/>
    </row>
    <row r="14">
      <c r="A14" s="13" t="inlineStr">
        <is>
          <t>3</t>
        </is>
      </c>
      <c r="B14" s="13" t="inlineStr">
        <is>
          <t>Gewebe in Form, Paste 3 mm (bzw. 6 mm) darauf, entlüften</t>
        </is>
      </c>
      <c r="C14" s="13" t="n"/>
    </row>
    <row r="15">
      <c r="A15" s="13" t="inlineStr">
        <is>
          <t>4</t>
        </is>
      </c>
      <c r="B15" s="13" t="inlineStr">
        <is>
          <t>7 Tage feucht in Folie aushärten</t>
        </is>
      </c>
      <c r="C15" s="13" t="n"/>
    </row>
    <row r="16">
      <c r="A16" s="13" t="inlineStr">
        <is>
          <t>5</t>
        </is>
      </c>
      <c r="B16" s="13" t="inlineStr">
        <is>
          <t>24 h im Elektrolyt tränken</t>
        </is>
      </c>
      <c r="C16" s="13" t="n"/>
    </row>
    <row r="17">
      <c r="A17" s="13" t="inlineStr">
        <is>
          <t>6</t>
        </is>
      </c>
      <c r="B17" s="13" t="inlineStr">
        <is>
          <t>Sandwich Elektrode–Separator–Elektrode, leicht pressen, Rand mit Silikon abdichten</t>
        </is>
      </c>
      <c r="C17" s="13" t="n"/>
    </row>
    <row r="18">
      <c r="A18" s="13" t="n"/>
      <c r="B18" s="13" t="n"/>
      <c r="C18" s="13" t="n"/>
    </row>
    <row r="19">
      <c r="A19" s="12" t="inlineStr">
        <is>
          <t>Messung</t>
        </is>
      </c>
      <c r="B19" s="13" t="n"/>
      <c r="C19" s="13" t="n"/>
    </row>
    <row r="20">
      <c r="A20" s="13" t="inlineStr">
        <is>
          <t>Laden</t>
        </is>
      </c>
      <c r="B20" s="13" t="inlineStr">
        <is>
          <t>Netzteil 1,0 V (nicht höher, sonst Gasbildung), Strombegrenzung 50 mA, 30 min</t>
        </is>
      </c>
      <c r="C20" s="13" t="n"/>
    </row>
    <row r="21">
      <c r="A21" s="13" t="inlineStr">
        <is>
          <t>Entladen</t>
        </is>
      </c>
      <c r="B21" s="13" t="inlineStr">
        <is>
          <t>über Widerstand (z.B. 10 Ω), Zeit von 0,8 V bis 0,4 V stoppen</t>
        </is>
      </c>
      <c r="C21" s="13" t="n"/>
    </row>
    <row r="22">
      <c r="A22" s="13" t="inlineStr">
        <is>
          <t>Selbstentladung</t>
        </is>
      </c>
      <c r="B22" s="13" t="inlineStr">
        <is>
          <t>1 h nach Laden Leerlaufspannung messen</t>
        </is>
      </c>
      <c r="C22" s="13" t="n"/>
    </row>
    <row r="23">
      <c r="A23" s="13" t="inlineStr">
        <is>
          <t>Zyklen</t>
        </is>
      </c>
      <c r="B23" s="13" t="inlineStr">
        <is>
          <t>50× laden/entladen, dann Kapazität erneut messen</t>
        </is>
      </c>
      <c r="C23" s="13" t="n"/>
    </row>
    <row r="24">
      <c r="A24" s="13" t="n"/>
      <c r="B24" s="13" t="n"/>
      <c r="C24" s="13" t="n"/>
    </row>
    <row r="25">
      <c r="A25" s="13" t="inlineStr">
        <is>
          <t>Erwartung (Hobby, KCl)</t>
        </is>
      </c>
      <c r="B25" s="13" t="inlineStr">
        <is>
          <t>0,5–5 F je Zelle; MIT erreicht ca. 50 F bei 12 V mit optimiertem Elektrolyt</t>
        </is>
      </c>
      <c r="C25" s="13" t="n"/>
    </row>
    <row r="26">
      <c r="A26" s="13" t="inlineStr">
        <is>
          <t>Quelle</t>
        </is>
      </c>
      <c r="B26" s="13" t="inlineStr">
        <is>
          <t>MIT News 1.10.2025, PNAS 2025 (carbon–cement supercapacitors)</t>
        </is>
      </c>
      <c r="C26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55" customWidth="1" min="2" max="2"/>
    <col width="60" customWidth="1" min="3" max="3"/>
  </cols>
  <sheetData>
    <row r="1">
      <c r="A1" s="12" t="inlineStr">
        <is>
          <t>Geopolymer-Elektrode aus Hüttensand (alkalisch aktiviert) – Ansatz für 1 kg Bindemittel</t>
        </is>
      </c>
      <c r="B1" s="12" t="n"/>
      <c r="C1" s="12" t="n"/>
    </row>
    <row r="2">
      <c r="A2" s="13" t="n"/>
      <c r="B2" s="13" t="n"/>
      <c r="C2" s="13" t="n"/>
    </row>
    <row r="3">
      <c r="A3" s="12" t="inlineStr">
        <is>
          <t>Material</t>
        </is>
      </c>
      <c r="B3" s="12" t="inlineStr">
        <is>
          <t>Menge</t>
        </is>
      </c>
      <c r="C3" s="12" t="inlineStr">
        <is>
          <t>Hinweis</t>
        </is>
      </c>
    </row>
    <row r="4">
      <c r="A4" s="13" t="inlineStr">
        <is>
          <t>Hüttensand (gemahlen, Hüttensandmehl)</t>
        </is>
      </c>
      <c r="B4" s="13" t="inlineStr">
        <is>
          <t>1000 g</t>
        </is>
      </c>
      <c r="C4" s="13" t="inlineStr">
        <is>
          <t>z.B. von Zementwerk / Baustoffhandel; Abfallprodukt Hochofen (voestalpine Linz)</t>
        </is>
      </c>
    </row>
    <row r="5">
      <c r="A5" s="13" t="inlineStr">
        <is>
          <t>Wasserglas-Lösung (Natriumsilikat, Modul ca. 2,0, ca. 37 % Feststoff)</t>
        </is>
      </c>
      <c r="B5" s="13" t="inlineStr">
        <is>
          <t>150 g</t>
        </is>
      </c>
      <c r="C5" s="13" t="inlineStr">
        <is>
          <t>Baumarkt/Chemiehandel; liefert Silikat und einen Teil Na2O</t>
        </is>
      </c>
    </row>
    <row r="6">
      <c r="A6" s="13" t="inlineStr">
        <is>
          <t>Natriumhydroxid NaOH (Plätzchen)</t>
        </is>
      </c>
      <c r="B6" s="13" t="inlineStr">
        <is>
          <t>40 g</t>
        </is>
      </c>
      <c r="C6" s="13" t="inlineStr">
        <is>
          <t>ÄTZEND: Schutzbrille, Handschuhe, langsam ins Wasser (nicht umgekehrt), wird heiß</t>
        </is>
      </c>
    </row>
    <row r="7">
      <c r="A7" s="13" t="inlineStr">
        <is>
          <t>Wasser</t>
        </is>
      </c>
      <c r="B7" s="13" t="inlineStr">
        <is>
          <t>300 ml</t>
        </is>
      </c>
      <c r="C7" s="13" t="inlineStr">
        <is>
          <t>Gesamt-Wasser/Bindemittel ca. 0,40 (inkl. Wasser aus Wasserglas)</t>
        </is>
      </c>
    </row>
    <row r="8">
      <c r="A8" s="13" t="inlineStr">
        <is>
          <t>Ruß (Carbon Black, Ketjenblack / Vulcan XC72)</t>
        </is>
      </c>
      <c r="B8" s="13" t="inlineStr">
        <is>
          <t>50 / 100 / 150 g (5 / 10 / 15 %)</t>
        </is>
      </c>
      <c r="C8" s="13" t="inlineStr">
        <is>
          <t>wie bei Portlandzement</t>
        </is>
      </c>
    </row>
    <row r="9">
      <c r="A9" s="13" t="inlineStr">
        <is>
          <t>Dispergierhilfe SDS (Natriumdodecylsulfat) oder CMC</t>
        </is>
      </c>
      <c r="B9" s="13" t="inlineStr">
        <is>
          <t>2–5 g</t>
        </is>
      </c>
      <c r="C9" s="13" t="inlineStr">
        <is>
          <t>Ruß ist wasserabweisend; SDS benetzt ihn (Ansatz aus Adv. Science 2026)</t>
        </is>
      </c>
    </row>
    <row r="10">
      <c r="A10" s="13" t="inlineStr">
        <is>
          <t>Stromableiter, Separator, Form</t>
        </is>
      </c>
      <c r="B10" s="13" t="inlineStr">
        <is>
          <t>wie Blatt Rezept</t>
        </is>
      </c>
      <c r="C10" s="13" t="inlineStr">
        <is>
          <t>Edelstahl V4A bleibt im alkalischen Milieu stabil; Alu NICHT verwenden (löst sich in Lauge auf)</t>
        </is>
      </c>
    </row>
    <row r="11">
      <c r="A11" s="13" t="n"/>
      <c r="B11" s="13" t="n"/>
      <c r="C11" s="13" t="n"/>
    </row>
    <row r="12">
      <c r="A12" s="12" t="inlineStr">
        <is>
          <t>Kennzahlen Aktivator</t>
        </is>
      </c>
      <c r="B12" s="13" t="n"/>
      <c r="C12" s="13" t="n"/>
    </row>
    <row r="13">
      <c r="A13" s="13" t="inlineStr">
        <is>
          <t>Na2O-Gehalt</t>
        </is>
      </c>
      <c r="B13" s="13" t="inlineStr">
        <is>
          <t>ca. 5 % der Hüttensandmasse</t>
        </is>
      </c>
      <c r="C13" s="13" t="inlineStr">
        <is>
          <t>übliche Spanne 4–6 %; mehr = schneller, fester, aber Rissgefahr</t>
        </is>
      </c>
    </row>
    <row r="14">
      <c r="A14" s="13" t="inlineStr">
        <is>
          <t>Modul Ms (SiO2/Na2O)</t>
        </is>
      </c>
      <c r="B14" s="13" t="inlineStr">
        <is>
          <t>ca. 1,2</t>
        </is>
      </c>
      <c r="C14" s="13" t="inlineStr">
        <is>
          <t>übliche Spanne 1,0–1,5</t>
        </is>
      </c>
    </row>
    <row r="15">
      <c r="A15" s="13" t="inlineStr">
        <is>
          <t>pH der Porenlösung</t>
        </is>
      </c>
      <c r="B15" s="13" t="inlineStr">
        <is>
          <t>13–14</t>
        </is>
      </c>
      <c r="C15" s="13" t="inlineStr">
        <is>
          <t>wirkt als KOH/NaOH-ähnlicher Elektrolyt (korrosionsschonend lt. PNAS 2025)</t>
        </is>
      </c>
    </row>
    <row r="16">
      <c r="A16" s="13" t="n"/>
      <c r="B16" s="13" t="n"/>
      <c r="C16" s="13" t="n"/>
    </row>
    <row r="17">
      <c r="A17" s="12" t="inlineStr">
        <is>
          <t>Ablauf</t>
        </is>
      </c>
      <c r="B17" s="13" t="n"/>
      <c r="C17" s="13" t="n"/>
    </row>
    <row r="18">
      <c r="A18" s="13" t="inlineStr">
        <is>
          <t>1</t>
        </is>
      </c>
      <c r="B18" s="13" t="inlineStr">
        <is>
          <t>NaOH in 300 ml Wasser lösen, abkühlen lassen (ca. 30 min), Wasserglas einrühren = Aktivatorlösung</t>
        </is>
      </c>
      <c r="C18" s="13" t="n"/>
    </row>
    <row r="19">
      <c r="A19" s="13" t="inlineStr">
        <is>
          <t>2</t>
        </is>
      </c>
      <c r="B19" s="13" t="inlineStr">
        <is>
          <t>Ruß + SDS in die Aktivatorlösung, 2–3 min Stabmixer (FFP2, Schutzbrille)</t>
        </is>
      </c>
      <c r="C19" s="13" t="n"/>
    </row>
    <row r="20">
      <c r="A20" s="13" t="inlineStr">
        <is>
          <t>3</t>
        </is>
      </c>
      <c r="B20" s="13" t="inlineStr">
        <is>
          <t>Hüttensand einrühren, 3 min mischen; Konsistenz wie dicker Brei, ggf. 10–30 ml Wasser nachgeben</t>
        </is>
      </c>
      <c r="C20" s="13" t="n"/>
    </row>
    <row r="21">
      <c r="A21" s="13" t="inlineStr">
        <is>
          <t>4</t>
        </is>
      </c>
      <c r="B21" s="13" t="inlineStr">
        <is>
          <t>Elektroden gießen wie beim Zement, 24 h bei 40–60 °C (Backofen, in Folie) oder 3 Tage Raumtemperatur, dann 7 Tage feucht</t>
        </is>
      </c>
      <c r="C21" s="13" t="n"/>
    </row>
    <row r="22">
      <c r="A22" s="13" t="inlineStr">
        <is>
          <t>5</t>
        </is>
      </c>
      <c r="B22" s="13" t="inlineStr">
        <is>
          <t>Variante G1–G3: OHNE Tränken messen (eigene Porenlösung ist Elektrolyt); G4: 24 h in KOH 1 mol/l; G5: Agar-Gel</t>
        </is>
      </c>
      <c r="C22" s="13" t="n"/>
    </row>
    <row r="23">
      <c r="A23" s="13" t="n"/>
      <c r="B23" s="13" t="n"/>
      <c r="C23" s="13" t="n"/>
    </row>
    <row r="24">
      <c r="A24" s="12" t="inlineStr">
        <is>
          <t>Agar-Gel-Elektrolyt (G5, ungiftige Alternative zu Polyacrylamid)</t>
        </is>
      </c>
      <c r="B24" s="13" t="n"/>
      <c r="C24" s="13" t="n"/>
    </row>
    <row r="25">
      <c r="A25" s="13" t="inlineStr">
        <is>
          <t>Agar-Agar</t>
        </is>
      </c>
      <c r="B25" s="13" t="inlineStr">
        <is>
          <t>2–3 g je 100 ml</t>
        </is>
      </c>
      <c r="C25" s="13" t="inlineStr">
        <is>
          <t>Lebensmittelhandel</t>
        </is>
      </c>
    </row>
    <row r="26">
      <c r="A26" s="13" t="inlineStr">
        <is>
          <t>KCl</t>
        </is>
      </c>
      <c r="B26" s="13" t="inlineStr">
        <is>
          <t>7,5 g je 100 ml (1 mol/l)</t>
        </is>
      </c>
      <c r="C26" s="13" t="inlineStr"/>
    </row>
    <row r="27">
      <c r="A27" s="12" t="inlineStr">
        <is>
          <t>Ablauf</t>
        </is>
      </c>
      <c r="B27" s="13" t="inlineStr">
        <is>
          <t>Aufkochen, warm (ca. 60 °C) auf die Elektrode gießen bzw. Separator damit tränken, erstarren lassen, Rand abdichten</t>
        </is>
      </c>
      <c r="C27" s="13" t="inlineStr">
        <is>
          <t>Austrocknung nach 7 Tagen offen prüfen</t>
        </is>
      </c>
    </row>
    <row r="28">
      <c r="A28" s="13" t="n"/>
      <c r="B28" s="13" t="n"/>
      <c r="C28" s="13" t="n"/>
    </row>
    <row r="29">
      <c r="A29" s="13" t="inlineStr">
        <is>
          <t>Messung</t>
        </is>
      </c>
      <c r="B29" s="13" t="inlineStr">
        <is>
          <t>wie Blatt Rezept: 1,0 V laden, über 10 Ω entladen, 0,8 → 0,4 V stoppen; zusätzlich Widerstand der Elektrode (Ziel &lt; 100 Ω·cm)</t>
        </is>
      </c>
      <c r="C29" s="13" t="n"/>
    </row>
    <row r="30">
      <c r="A30" s="13" t="inlineStr">
        <is>
          <t>Warum Geopolymer</t>
        </is>
      </c>
      <c r="B30" s="13" t="inlineStr">
        <is>
          <t>Kein Portlandzement → voraussichtlich außerhalb EP 3 737 654 (Patentanwalt prüfen); ca. 80 % weniger CO2; Elektrolyt ist eingebaut</t>
        </is>
      </c>
      <c r="C30" s="13" t="n"/>
    </row>
    <row r="31">
      <c r="A31" s="13" t="inlineStr">
        <is>
          <t>Quellen</t>
        </is>
      </c>
      <c r="B31" s="13" t="inlineStr">
        <is>
          <t>Constr. Build. Mater. 2025 (Hüttensand + Ruß, 4,5 % Ruß → Leitfähigkeit ×594); PNAS 2025 (KOH korrosionsschonend); Adv. Science 2026 (SDS + Hydrogel)</t>
        </is>
      </c>
      <c r="C31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2026-09-27T18:30:47Z</dcterms:created>
  <dcterms:modified xsi:type="dcterms:W3CDTF">2026-09-27T18:30:47Z</dcterms:modified>
</cp:coreProperties>
</file>