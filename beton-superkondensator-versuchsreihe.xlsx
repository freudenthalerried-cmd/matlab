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uchsreihe" sheetId="1" state="visible" r:id="rId1"/>
    <sheet name="Reze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</font>
    <font>
      <name val="Arial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3" borderId="1" pivotButton="0" quotePrefix="0" xfId="0"/>
    <xf numFmtId="0" fontId="3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L4" authorId="0" shapeId="0">
      <text>
        <t>I = (U_Start+U_Ende)/2 / R_Entlade</t>
      </text>
    </comment>
    <comment ref="M4" authorId="0" shapeId="0">
      <text>
        <t>C = I·Δt / (U_Start−U_Ende)</t>
      </text>
    </comment>
    <comment ref="N4" authorId="0" shapeId="0">
      <text>
        <t>E = ½·C·U_Lade²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5" customWidth="1" min="4" max="4"/>
    <col width="9" customWidth="1" min="5" max="5"/>
    <col width="11" customWidth="1" min="6" max="6"/>
    <col width="10" customWidth="1" min="7" max="7"/>
    <col width="11" customWidth="1" min="8" max="8"/>
    <col width="9" customWidth="1" min="9" max="9"/>
    <col width="9" customWidth="1" min="10" max="10"/>
    <col width="8" customWidth="1" min="11" max="11"/>
    <col width="10" customWidth="1" min="12" max="12"/>
    <col width="9" customWidth="1" min="13" max="13"/>
    <col width="9" customWidth="1" min="14" max="14"/>
    <col width="11" customWidth="1" min="15" max="15"/>
    <col width="11" customWidth="1" min="16" max="16"/>
    <col width="12" customWidth="1" min="17" max="17"/>
    <col width="12" customWidth="1" min="18" max="18"/>
    <col width="24" customWidth="1" min="19" max="19"/>
  </cols>
  <sheetData>
    <row r="1">
      <c r="A1" s="1" t="inlineStr">
        <is>
          <t>Beton-Superkondensator – Versuchsreihe Testblock</t>
        </is>
      </c>
    </row>
    <row r="2">
      <c r="A2" s="2" t="inlineStr">
        <is>
          <t>Gelbe Zellen ausfüllen (Messwerte). Weiße Zellen mit schwarzer Schrift rechnen automatisch. Zeile 4 ist eine Beispielzeile mit fiktiven Werten.</t>
        </is>
      </c>
    </row>
    <row r="3" ht="42" customHeight="1">
      <c r="A3" s="3" t="inlineStr">
        <is>
          <t>Variante</t>
        </is>
      </c>
      <c r="B3" s="3" t="inlineStr">
        <is>
          <t>Zelle Nr.</t>
        </is>
      </c>
      <c r="C3" s="3" t="inlineStr">
        <is>
          <t>Ruß [% v. Zement]</t>
        </is>
      </c>
      <c r="D3" s="3" t="inlineStr">
        <is>
          <t>Elektrolyt</t>
        </is>
      </c>
      <c r="E3" s="3" t="inlineStr">
        <is>
          <t>Dicke [mm]</t>
        </is>
      </c>
      <c r="F3" s="3" t="inlineStr">
        <is>
          <t>R Elektrode [Ω]</t>
        </is>
      </c>
      <c r="G3" s="3" t="inlineStr">
        <is>
          <t>Ladespg. [V]</t>
        </is>
      </c>
      <c r="H3" s="3" t="inlineStr">
        <is>
          <t>R Entlade [Ω]</t>
        </is>
      </c>
      <c r="I3" s="3" t="inlineStr">
        <is>
          <t>U Start [V]</t>
        </is>
      </c>
      <c r="J3" s="3" t="inlineStr">
        <is>
          <t>U Ende [V]</t>
        </is>
      </c>
      <c r="K3" s="3" t="inlineStr">
        <is>
          <t>Δt [s]</t>
        </is>
      </c>
      <c r="L3" s="3" t="inlineStr">
        <is>
          <t>I mittel [A]</t>
        </is>
      </c>
      <c r="M3" s="3" t="inlineStr">
        <is>
          <t>C [F]</t>
        </is>
      </c>
      <c r="N3" s="3" t="inlineStr">
        <is>
          <t>E [Ws]</t>
        </is>
      </c>
      <c r="O3" s="3" t="inlineStr">
        <is>
          <t>U nach 1 h [V]</t>
        </is>
      </c>
      <c r="P3" s="3" t="inlineStr">
        <is>
          <t>Selbstentl. [%]</t>
        </is>
      </c>
      <c r="Q3" s="3" t="inlineStr">
        <is>
          <t>C nach 50 Zyklen [F]</t>
        </is>
      </c>
      <c r="R3" s="3" t="inlineStr">
        <is>
          <t>Zyklenverlust [%]</t>
        </is>
      </c>
      <c r="S3" s="3" t="inlineStr">
        <is>
          <t>Bemerkung</t>
        </is>
      </c>
    </row>
    <row r="4">
      <c r="A4" s="4" t="inlineStr">
        <is>
          <t>A1</t>
        </is>
      </c>
      <c r="B4" s="4" t="n">
        <v>1</v>
      </c>
      <c r="C4" s="4" t="n">
        <v>5</v>
      </c>
      <c r="D4" s="4" t="inlineStr">
        <is>
          <t>KCl 1 mol/l</t>
        </is>
      </c>
      <c r="E4" s="4" t="n">
        <v>3</v>
      </c>
      <c r="F4" s="5" t="n">
        <v>45</v>
      </c>
      <c r="G4" s="5" t="n">
        <v>1</v>
      </c>
      <c r="H4" s="5" t="n">
        <v>10</v>
      </c>
      <c r="I4" s="5" t="n">
        <v>0.8</v>
      </c>
      <c r="J4" s="5" t="n">
        <v>0.4</v>
      </c>
      <c r="K4" s="5" t="n">
        <v>38</v>
      </c>
      <c r="L4" s="6">
        <f>IF(H4&gt;0,(I4+J4)/2/H4,"")</f>
        <v/>
      </c>
      <c r="M4" s="6">
        <f>IF(AND(K4&gt;0,I4&gt;J4),L4*K4/(I4-J4),"")</f>
        <v/>
      </c>
      <c r="N4" s="6">
        <f>IF(M4&lt;&gt;"",0.5*M4*G4^2,"")</f>
        <v/>
      </c>
      <c r="O4" s="5" t="n">
        <v>0.72</v>
      </c>
      <c r="P4" s="7">
        <f>IF(AND(G4&gt;0,O4&lt;&gt;""),(G4-O4)/G4,"")</f>
        <v/>
      </c>
      <c r="Q4" s="8" t="n"/>
      <c r="R4" s="7">
        <f>IF(AND(M4&lt;&gt;"",Q4&lt;&gt;""),(M4-Q4)/M4,"")</f>
        <v/>
      </c>
      <c r="S4" s="5" t="inlineStr">
        <is>
          <t>Beispiel (fiktiv)</t>
        </is>
      </c>
    </row>
    <row r="5">
      <c r="A5" s="4" t="inlineStr">
        <is>
          <t>A1</t>
        </is>
      </c>
      <c r="B5" s="4" t="n">
        <v>2</v>
      </c>
      <c r="C5" s="4" t="n">
        <v>5</v>
      </c>
      <c r="D5" s="4" t="inlineStr">
        <is>
          <t>KCl 1 mol/l</t>
        </is>
      </c>
      <c r="E5" s="4" t="n">
        <v>3</v>
      </c>
      <c r="F5" s="5" t="n"/>
      <c r="G5" s="5" t="n"/>
      <c r="H5" s="5" t="n"/>
      <c r="I5" s="5" t="n"/>
      <c r="J5" s="5" t="n"/>
      <c r="K5" s="5" t="n"/>
      <c r="L5" s="6">
        <f>IF(H5&gt;0,(I5+J5)/2/H5,"")</f>
        <v/>
      </c>
      <c r="M5" s="6">
        <f>IF(AND(K5&gt;0,I5&gt;J5),L5*K5/(I5-J5),"")</f>
        <v/>
      </c>
      <c r="N5" s="6">
        <f>IF(M5&lt;&gt;"",0.5*M5*G5^2,"")</f>
        <v/>
      </c>
      <c r="O5" s="5" t="n"/>
      <c r="P5" s="7">
        <f>IF(AND(G5&gt;0,O5&lt;&gt;""),(G5-O5)/G5,"")</f>
        <v/>
      </c>
      <c r="Q5" s="8" t="n"/>
      <c r="R5" s="7">
        <f>IF(AND(M5&lt;&gt;"",Q5&lt;&gt;""),(M5-Q5)/M5,"")</f>
        <v/>
      </c>
      <c r="S5" s="5" t="n"/>
    </row>
    <row r="6">
      <c r="A6" s="4" t="inlineStr">
        <is>
          <t>A1</t>
        </is>
      </c>
      <c r="B6" s="4" t="n">
        <v>3</v>
      </c>
      <c r="C6" s="4" t="n">
        <v>5</v>
      </c>
      <c r="D6" s="4" t="inlineStr">
        <is>
          <t>KCl 1 mol/l</t>
        </is>
      </c>
      <c r="E6" s="4" t="n">
        <v>3</v>
      </c>
      <c r="F6" s="5" t="n"/>
      <c r="G6" s="5" t="n"/>
      <c r="H6" s="5" t="n"/>
      <c r="I6" s="5" t="n"/>
      <c r="J6" s="5" t="n"/>
      <c r="K6" s="5" t="n"/>
      <c r="L6" s="6">
        <f>IF(H6&gt;0,(I6+J6)/2/H6,"")</f>
        <v/>
      </c>
      <c r="M6" s="6">
        <f>IF(AND(K6&gt;0,I6&gt;J6),L6*K6/(I6-J6),"")</f>
        <v/>
      </c>
      <c r="N6" s="6">
        <f>IF(M6&lt;&gt;"",0.5*M6*G6^2,"")</f>
        <v/>
      </c>
      <c r="O6" s="5" t="n"/>
      <c r="P6" s="7">
        <f>IF(AND(G6&gt;0,O6&lt;&gt;""),(G6-O6)/G6,"")</f>
        <v/>
      </c>
      <c r="Q6" s="8" t="n"/>
      <c r="R6" s="7">
        <f>IF(AND(M6&lt;&gt;"",Q6&lt;&gt;""),(M6-Q6)/M6,"")</f>
        <v/>
      </c>
      <c r="S6" s="5" t="n"/>
    </row>
    <row r="7">
      <c r="A7" s="4" t="inlineStr">
        <is>
          <t>A2</t>
        </is>
      </c>
      <c r="B7" s="4" t="n">
        <v>1</v>
      </c>
      <c r="C7" s="4" t="n">
        <v>10</v>
      </c>
      <c r="D7" s="4" t="inlineStr">
        <is>
          <t>KCl 1 mol/l</t>
        </is>
      </c>
      <c r="E7" s="4" t="n">
        <v>3</v>
      </c>
      <c r="F7" s="5" t="n"/>
      <c r="G7" s="5" t="n"/>
      <c r="H7" s="5" t="n"/>
      <c r="I7" s="5" t="n"/>
      <c r="J7" s="5" t="n"/>
      <c r="K7" s="5" t="n"/>
      <c r="L7" s="6">
        <f>IF(H7&gt;0,(I7+J7)/2/H7,"")</f>
        <v/>
      </c>
      <c r="M7" s="6">
        <f>IF(AND(K7&gt;0,I7&gt;J7),L7*K7/(I7-J7),"")</f>
        <v/>
      </c>
      <c r="N7" s="6">
        <f>IF(M7&lt;&gt;"",0.5*M7*G7^2,"")</f>
        <v/>
      </c>
      <c r="O7" s="5" t="n"/>
      <c r="P7" s="7">
        <f>IF(AND(G7&gt;0,O7&lt;&gt;""),(G7-O7)/G7,"")</f>
        <v/>
      </c>
      <c r="Q7" s="8" t="n"/>
      <c r="R7" s="7">
        <f>IF(AND(M7&lt;&gt;"",Q7&lt;&gt;""),(M7-Q7)/M7,"")</f>
        <v/>
      </c>
      <c r="S7" s="5" t="n"/>
    </row>
    <row r="8">
      <c r="A8" s="4" t="inlineStr">
        <is>
          <t>A2</t>
        </is>
      </c>
      <c r="B8" s="4" t="n">
        <v>2</v>
      </c>
      <c r="C8" s="4" t="n">
        <v>10</v>
      </c>
      <c r="D8" s="4" t="inlineStr">
        <is>
          <t>KCl 1 mol/l</t>
        </is>
      </c>
      <c r="E8" s="4" t="n">
        <v>3</v>
      </c>
      <c r="F8" s="5" t="n"/>
      <c r="G8" s="5" t="n"/>
      <c r="H8" s="5" t="n"/>
      <c r="I8" s="5" t="n"/>
      <c r="J8" s="5" t="n"/>
      <c r="K8" s="5" t="n"/>
      <c r="L8" s="6">
        <f>IF(H8&gt;0,(I8+J8)/2/H8,"")</f>
        <v/>
      </c>
      <c r="M8" s="6">
        <f>IF(AND(K8&gt;0,I8&gt;J8),L8*K8/(I8-J8),"")</f>
        <v/>
      </c>
      <c r="N8" s="6">
        <f>IF(M8&lt;&gt;"",0.5*M8*G8^2,"")</f>
        <v/>
      </c>
      <c r="O8" s="5" t="n"/>
      <c r="P8" s="7">
        <f>IF(AND(G8&gt;0,O8&lt;&gt;""),(G8-O8)/G8,"")</f>
        <v/>
      </c>
      <c r="Q8" s="8" t="n"/>
      <c r="R8" s="7">
        <f>IF(AND(M8&lt;&gt;"",Q8&lt;&gt;""),(M8-Q8)/M8,"")</f>
        <v/>
      </c>
      <c r="S8" s="5" t="n"/>
    </row>
    <row r="9">
      <c r="A9" s="4" t="inlineStr">
        <is>
          <t>A2</t>
        </is>
      </c>
      <c r="B9" s="4" t="n">
        <v>3</v>
      </c>
      <c r="C9" s="4" t="n">
        <v>10</v>
      </c>
      <c r="D9" s="4" t="inlineStr">
        <is>
          <t>KCl 1 mol/l</t>
        </is>
      </c>
      <c r="E9" s="4" t="n">
        <v>3</v>
      </c>
      <c r="F9" s="5" t="n"/>
      <c r="G9" s="5" t="n"/>
      <c r="H9" s="5" t="n"/>
      <c r="I9" s="5" t="n"/>
      <c r="J9" s="5" t="n"/>
      <c r="K9" s="5" t="n"/>
      <c r="L9" s="6">
        <f>IF(H9&gt;0,(I9+J9)/2/H9,"")</f>
        <v/>
      </c>
      <c r="M9" s="6">
        <f>IF(AND(K9&gt;0,I9&gt;J9),L9*K9/(I9-J9),"")</f>
        <v/>
      </c>
      <c r="N9" s="6">
        <f>IF(M9&lt;&gt;"",0.5*M9*G9^2,"")</f>
        <v/>
      </c>
      <c r="O9" s="5" t="n"/>
      <c r="P9" s="7">
        <f>IF(AND(G9&gt;0,O9&lt;&gt;""),(G9-O9)/G9,"")</f>
        <v/>
      </c>
      <c r="Q9" s="8" t="n"/>
      <c r="R9" s="7">
        <f>IF(AND(M9&lt;&gt;"",Q9&lt;&gt;""),(M9-Q9)/M9,"")</f>
        <v/>
      </c>
      <c r="S9" s="5" t="n"/>
    </row>
    <row r="10">
      <c r="A10" s="4" t="inlineStr">
        <is>
          <t>A3</t>
        </is>
      </c>
      <c r="B10" s="4" t="n">
        <v>1</v>
      </c>
      <c r="C10" s="4" t="n">
        <v>15</v>
      </c>
      <c r="D10" s="4" t="inlineStr">
        <is>
          <t>KCl 1 mol/l</t>
        </is>
      </c>
      <c r="E10" s="4" t="n">
        <v>3</v>
      </c>
      <c r="F10" s="5" t="n"/>
      <c r="G10" s="5" t="n"/>
      <c r="H10" s="5" t="n"/>
      <c r="I10" s="5" t="n"/>
      <c r="J10" s="5" t="n"/>
      <c r="K10" s="5" t="n"/>
      <c r="L10" s="6">
        <f>IF(H10&gt;0,(I10+J10)/2/H10,"")</f>
        <v/>
      </c>
      <c r="M10" s="6">
        <f>IF(AND(K10&gt;0,I10&gt;J10),L10*K10/(I10-J10),"")</f>
        <v/>
      </c>
      <c r="N10" s="6">
        <f>IF(M10&lt;&gt;"",0.5*M10*G10^2,"")</f>
        <v/>
      </c>
      <c r="O10" s="5" t="n"/>
      <c r="P10" s="7">
        <f>IF(AND(G10&gt;0,O10&lt;&gt;""),(G10-O10)/G10,"")</f>
        <v/>
      </c>
      <c r="Q10" s="8" t="n"/>
      <c r="R10" s="7">
        <f>IF(AND(M10&lt;&gt;"",Q10&lt;&gt;""),(M10-Q10)/M10,"")</f>
        <v/>
      </c>
      <c r="S10" s="5" t="n"/>
    </row>
    <row r="11">
      <c r="A11" s="4" t="inlineStr">
        <is>
          <t>A3</t>
        </is>
      </c>
      <c r="B11" s="4" t="n">
        <v>2</v>
      </c>
      <c r="C11" s="4" t="n">
        <v>15</v>
      </c>
      <c r="D11" s="4" t="inlineStr">
        <is>
          <t>KCl 1 mol/l</t>
        </is>
      </c>
      <c r="E11" s="4" t="n">
        <v>3</v>
      </c>
      <c r="F11" s="5" t="n"/>
      <c r="G11" s="5" t="n"/>
      <c r="H11" s="5" t="n"/>
      <c r="I11" s="5" t="n"/>
      <c r="J11" s="5" t="n"/>
      <c r="K11" s="5" t="n"/>
      <c r="L11" s="6">
        <f>IF(H11&gt;0,(I11+J11)/2/H11,"")</f>
        <v/>
      </c>
      <c r="M11" s="6">
        <f>IF(AND(K11&gt;0,I11&gt;J11),L11*K11/(I11-J11),"")</f>
        <v/>
      </c>
      <c r="N11" s="6">
        <f>IF(M11&lt;&gt;"",0.5*M11*G11^2,"")</f>
        <v/>
      </c>
      <c r="O11" s="5" t="n"/>
      <c r="P11" s="7">
        <f>IF(AND(G11&gt;0,O11&lt;&gt;""),(G11-O11)/G11,"")</f>
        <v/>
      </c>
      <c r="Q11" s="8" t="n"/>
      <c r="R11" s="7">
        <f>IF(AND(M11&lt;&gt;"",Q11&lt;&gt;""),(M11-Q11)/M11,"")</f>
        <v/>
      </c>
      <c r="S11" s="5" t="n"/>
    </row>
    <row r="12">
      <c r="A12" s="4" t="inlineStr">
        <is>
          <t>A3</t>
        </is>
      </c>
      <c r="B12" s="4" t="n">
        <v>3</v>
      </c>
      <c r="C12" s="4" t="n">
        <v>15</v>
      </c>
      <c r="D12" s="4" t="inlineStr">
        <is>
          <t>KCl 1 mol/l</t>
        </is>
      </c>
      <c r="E12" s="4" t="n">
        <v>3</v>
      </c>
      <c r="F12" s="5" t="n"/>
      <c r="G12" s="5" t="n"/>
      <c r="H12" s="5" t="n"/>
      <c r="I12" s="5" t="n"/>
      <c r="J12" s="5" t="n"/>
      <c r="K12" s="5" t="n"/>
      <c r="L12" s="6">
        <f>IF(H12&gt;0,(I12+J12)/2/H12,"")</f>
        <v/>
      </c>
      <c r="M12" s="6">
        <f>IF(AND(K12&gt;0,I12&gt;J12),L12*K12/(I12-J12),"")</f>
        <v/>
      </c>
      <c r="N12" s="6">
        <f>IF(M12&lt;&gt;"",0.5*M12*G12^2,"")</f>
        <v/>
      </c>
      <c r="O12" s="5" t="n"/>
      <c r="P12" s="7">
        <f>IF(AND(G12&gt;0,O12&lt;&gt;""),(G12-O12)/G12,"")</f>
        <v/>
      </c>
      <c r="Q12" s="8" t="n"/>
      <c r="R12" s="7">
        <f>IF(AND(M12&lt;&gt;"",Q12&lt;&gt;""),(M12-Q12)/M12,"")</f>
        <v/>
      </c>
      <c r="S12" s="5" t="n"/>
    </row>
    <row r="13">
      <c r="A13" s="4" t="inlineStr">
        <is>
          <t>B1</t>
        </is>
      </c>
      <c r="B13" s="4" t="n">
        <v>1</v>
      </c>
      <c r="C13" s="4" t="n">
        <v>10</v>
      </c>
      <c r="D13" s="4" t="inlineStr">
        <is>
          <t>KCl gesättigt</t>
        </is>
      </c>
      <c r="E13" s="4" t="n">
        <v>3</v>
      </c>
      <c r="F13" s="5" t="n"/>
      <c r="G13" s="5" t="n"/>
      <c r="H13" s="5" t="n"/>
      <c r="I13" s="5" t="n"/>
      <c r="J13" s="5" t="n"/>
      <c r="K13" s="5" t="n"/>
      <c r="L13" s="6">
        <f>IF(H13&gt;0,(I13+J13)/2/H13,"")</f>
        <v/>
      </c>
      <c r="M13" s="6">
        <f>IF(AND(K13&gt;0,I13&gt;J13),L13*K13/(I13-J13),"")</f>
        <v/>
      </c>
      <c r="N13" s="6">
        <f>IF(M13&lt;&gt;"",0.5*M13*G13^2,"")</f>
        <v/>
      </c>
      <c r="O13" s="5" t="n"/>
      <c r="P13" s="7">
        <f>IF(AND(G13&gt;0,O13&lt;&gt;""),(G13-O13)/G13,"")</f>
        <v/>
      </c>
      <c r="Q13" s="8" t="n"/>
      <c r="R13" s="7">
        <f>IF(AND(M13&lt;&gt;"",Q13&lt;&gt;""),(M13-Q13)/M13,"")</f>
        <v/>
      </c>
      <c r="S13" s="5" t="n"/>
    </row>
    <row r="14">
      <c r="A14" s="4" t="inlineStr">
        <is>
          <t>B1</t>
        </is>
      </c>
      <c r="B14" s="4" t="n">
        <v>2</v>
      </c>
      <c r="C14" s="4" t="n">
        <v>10</v>
      </c>
      <c r="D14" s="4" t="inlineStr">
        <is>
          <t>KCl gesättigt</t>
        </is>
      </c>
      <c r="E14" s="4" t="n">
        <v>3</v>
      </c>
      <c r="F14" s="5" t="n"/>
      <c r="G14" s="5" t="n"/>
      <c r="H14" s="5" t="n"/>
      <c r="I14" s="5" t="n"/>
      <c r="J14" s="5" t="n"/>
      <c r="K14" s="5" t="n"/>
      <c r="L14" s="6">
        <f>IF(H14&gt;0,(I14+J14)/2/H14,"")</f>
        <v/>
      </c>
      <c r="M14" s="6">
        <f>IF(AND(K14&gt;0,I14&gt;J14),L14*K14/(I14-J14),"")</f>
        <v/>
      </c>
      <c r="N14" s="6">
        <f>IF(M14&lt;&gt;"",0.5*M14*G14^2,"")</f>
        <v/>
      </c>
      <c r="O14" s="5" t="n"/>
      <c r="P14" s="7">
        <f>IF(AND(G14&gt;0,O14&lt;&gt;""),(G14-O14)/G14,"")</f>
        <v/>
      </c>
      <c r="Q14" s="8" t="n"/>
      <c r="R14" s="7">
        <f>IF(AND(M14&lt;&gt;"",Q14&lt;&gt;""),(M14-Q14)/M14,"")</f>
        <v/>
      </c>
      <c r="S14" s="5" t="n"/>
    </row>
    <row r="15">
      <c r="A15" s="4" t="inlineStr">
        <is>
          <t>B1</t>
        </is>
      </c>
      <c r="B15" s="4" t="n">
        <v>3</v>
      </c>
      <c r="C15" s="4" t="n">
        <v>10</v>
      </c>
      <c r="D15" s="4" t="inlineStr">
        <is>
          <t>KCl gesättigt</t>
        </is>
      </c>
      <c r="E15" s="4" t="n">
        <v>3</v>
      </c>
      <c r="F15" s="5" t="n"/>
      <c r="G15" s="5" t="n"/>
      <c r="H15" s="5" t="n"/>
      <c r="I15" s="5" t="n"/>
      <c r="J15" s="5" t="n"/>
      <c r="K15" s="5" t="n"/>
      <c r="L15" s="6">
        <f>IF(H15&gt;0,(I15+J15)/2/H15,"")</f>
        <v/>
      </c>
      <c r="M15" s="6">
        <f>IF(AND(K15&gt;0,I15&gt;J15),L15*K15/(I15-J15),"")</f>
        <v/>
      </c>
      <c r="N15" s="6">
        <f>IF(M15&lt;&gt;"",0.5*M15*G15^2,"")</f>
        <v/>
      </c>
      <c r="O15" s="5" t="n"/>
      <c r="P15" s="7">
        <f>IF(AND(G15&gt;0,O15&lt;&gt;""),(G15-O15)/G15,"")</f>
        <v/>
      </c>
      <c r="Q15" s="8" t="n"/>
      <c r="R15" s="7">
        <f>IF(AND(M15&lt;&gt;"",Q15&lt;&gt;""),(M15-Q15)/M15,"")</f>
        <v/>
      </c>
      <c r="S15" s="5" t="n"/>
    </row>
    <row r="16">
      <c r="A16" s="4" t="inlineStr">
        <is>
          <t>B2</t>
        </is>
      </c>
      <c r="B16" s="4" t="n">
        <v>1</v>
      </c>
      <c r="C16" s="4" t="n">
        <v>10</v>
      </c>
      <c r="D16" s="4" t="inlineStr">
        <is>
          <t>Na2SO4 1 mol/l</t>
        </is>
      </c>
      <c r="E16" s="4" t="n">
        <v>3</v>
      </c>
      <c r="F16" s="5" t="n"/>
      <c r="G16" s="5" t="n"/>
      <c r="H16" s="5" t="n"/>
      <c r="I16" s="5" t="n"/>
      <c r="J16" s="5" t="n"/>
      <c r="K16" s="5" t="n"/>
      <c r="L16" s="6">
        <f>IF(H16&gt;0,(I16+J16)/2/H16,"")</f>
        <v/>
      </c>
      <c r="M16" s="6">
        <f>IF(AND(K16&gt;0,I16&gt;J16),L16*K16/(I16-J16),"")</f>
        <v/>
      </c>
      <c r="N16" s="6">
        <f>IF(M16&lt;&gt;"",0.5*M16*G16^2,"")</f>
        <v/>
      </c>
      <c r="O16" s="5" t="n"/>
      <c r="P16" s="7">
        <f>IF(AND(G16&gt;0,O16&lt;&gt;""),(G16-O16)/G16,"")</f>
        <v/>
      </c>
      <c r="Q16" s="8" t="n"/>
      <c r="R16" s="7">
        <f>IF(AND(M16&lt;&gt;"",Q16&lt;&gt;""),(M16-Q16)/M16,"")</f>
        <v/>
      </c>
      <c r="S16" s="5" t="n"/>
    </row>
    <row r="17">
      <c r="A17" s="4" t="inlineStr">
        <is>
          <t>B2</t>
        </is>
      </c>
      <c r="B17" s="4" t="n">
        <v>2</v>
      </c>
      <c r="C17" s="4" t="n">
        <v>10</v>
      </c>
      <c r="D17" s="4" t="inlineStr">
        <is>
          <t>Na2SO4 1 mol/l</t>
        </is>
      </c>
      <c r="E17" s="4" t="n">
        <v>3</v>
      </c>
      <c r="F17" s="5" t="n"/>
      <c r="G17" s="5" t="n"/>
      <c r="H17" s="5" t="n"/>
      <c r="I17" s="5" t="n"/>
      <c r="J17" s="5" t="n"/>
      <c r="K17" s="5" t="n"/>
      <c r="L17" s="6">
        <f>IF(H17&gt;0,(I17+J17)/2/H17,"")</f>
        <v/>
      </c>
      <c r="M17" s="6">
        <f>IF(AND(K17&gt;0,I17&gt;J17),L17*K17/(I17-J17),"")</f>
        <v/>
      </c>
      <c r="N17" s="6">
        <f>IF(M17&lt;&gt;"",0.5*M17*G17^2,"")</f>
        <v/>
      </c>
      <c r="O17" s="5" t="n"/>
      <c r="P17" s="7">
        <f>IF(AND(G17&gt;0,O17&lt;&gt;""),(G17-O17)/G17,"")</f>
        <v/>
      </c>
      <c r="Q17" s="8" t="n"/>
      <c r="R17" s="7">
        <f>IF(AND(M17&lt;&gt;"",Q17&lt;&gt;""),(M17-Q17)/M17,"")</f>
        <v/>
      </c>
      <c r="S17" s="5" t="n"/>
    </row>
    <row r="18">
      <c r="A18" s="4" t="inlineStr">
        <is>
          <t>B2</t>
        </is>
      </c>
      <c r="B18" s="4" t="n">
        <v>3</v>
      </c>
      <c r="C18" s="4" t="n">
        <v>10</v>
      </c>
      <c r="D18" s="4" t="inlineStr">
        <is>
          <t>Na2SO4 1 mol/l</t>
        </is>
      </c>
      <c r="E18" s="4" t="n">
        <v>3</v>
      </c>
      <c r="F18" s="5" t="n"/>
      <c r="G18" s="5" t="n"/>
      <c r="H18" s="5" t="n"/>
      <c r="I18" s="5" t="n"/>
      <c r="J18" s="5" t="n"/>
      <c r="K18" s="5" t="n"/>
      <c r="L18" s="6">
        <f>IF(H18&gt;0,(I18+J18)/2/H18,"")</f>
        <v/>
      </c>
      <c r="M18" s="6">
        <f>IF(AND(K18&gt;0,I18&gt;J18),L18*K18/(I18-J18),"")</f>
        <v/>
      </c>
      <c r="N18" s="6">
        <f>IF(M18&lt;&gt;"",0.5*M18*G18^2,"")</f>
        <v/>
      </c>
      <c r="O18" s="5" t="n"/>
      <c r="P18" s="7">
        <f>IF(AND(G18&gt;0,O18&lt;&gt;""),(G18-O18)/G18,"")</f>
        <v/>
      </c>
      <c r="Q18" s="8" t="n"/>
      <c r="R18" s="7">
        <f>IF(AND(M18&lt;&gt;"",Q18&lt;&gt;""),(M18-Q18)/M18,"")</f>
        <v/>
      </c>
      <c r="S18" s="5" t="n"/>
    </row>
    <row r="19">
      <c r="A19" s="4" t="inlineStr">
        <is>
          <t>C1</t>
        </is>
      </c>
      <c r="B19" s="4" t="n">
        <v>1</v>
      </c>
      <c r="C19" s="4" t="n">
        <v>10</v>
      </c>
      <c r="D19" s="4" t="inlineStr">
        <is>
          <t>KCl 1 mol/l</t>
        </is>
      </c>
      <c r="E19" s="4" t="n">
        <v>6</v>
      </c>
      <c r="F19" s="5" t="n"/>
      <c r="G19" s="5" t="n"/>
      <c r="H19" s="5" t="n"/>
      <c r="I19" s="5" t="n"/>
      <c r="J19" s="5" t="n"/>
      <c r="K19" s="5" t="n"/>
      <c r="L19" s="6">
        <f>IF(H19&gt;0,(I19+J19)/2/H19,"")</f>
        <v/>
      </c>
      <c r="M19" s="6">
        <f>IF(AND(K19&gt;0,I19&gt;J19),L19*K19/(I19-J19),"")</f>
        <v/>
      </c>
      <c r="N19" s="6">
        <f>IF(M19&lt;&gt;"",0.5*M19*G19^2,"")</f>
        <v/>
      </c>
      <c r="O19" s="5" t="n"/>
      <c r="P19" s="7">
        <f>IF(AND(G19&gt;0,O19&lt;&gt;""),(G19-O19)/G19,"")</f>
        <v/>
      </c>
      <c r="Q19" s="8" t="n"/>
      <c r="R19" s="7">
        <f>IF(AND(M19&lt;&gt;"",Q19&lt;&gt;""),(M19-Q19)/M19,"")</f>
        <v/>
      </c>
      <c r="S19" s="5" t="n"/>
    </row>
    <row r="20">
      <c r="A20" s="4" t="inlineStr">
        <is>
          <t>C1</t>
        </is>
      </c>
      <c r="B20" s="4" t="n">
        <v>2</v>
      </c>
      <c r="C20" s="4" t="n">
        <v>10</v>
      </c>
      <c r="D20" s="4" t="inlineStr">
        <is>
          <t>KCl 1 mol/l</t>
        </is>
      </c>
      <c r="E20" s="4" t="n">
        <v>6</v>
      </c>
      <c r="F20" s="5" t="n"/>
      <c r="G20" s="5" t="n"/>
      <c r="H20" s="5" t="n"/>
      <c r="I20" s="5" t="n"/>
      <c r="J20" s="5" t="n"/>
      <c r="K20" s="5" t="n"/>
      <c r="L20" s="6">
        <f>IF(H20&gt;0,(I20+J20)/2/H20,"")</f>
        <v/>
      </c>
      <c r="M20" s="6">
        <f>IF(AND(K20&gt;0,I20&gt;J20),L20*K20/(I20-J20),"")</f>
        <v/>
      </c>
      <c r="N20" s="6">
        <f>IF(M20&lt;&gt;"",0.5*M20*G20^2,"")</f>
        <v/>
      </c>
      <c r="O20" s="5" t="n"/>
      <c r="P20" s="7">
        <f>IF(AND(G20&gt;0,O20&lt;&gt;""),(G20-O20)/G20,"")</f>
        <v/>
      </c>
      <c r="Q20" s="8" t="n"/>
      <c r="R20" s="7">
        <f>IF(AND(M20&lt;&gt;"",Q20&lt;&gt;""),(M20-Q20)/M20,"")</f>
        <v/>
      </c>
      <c r="S20" s="5" t="n"/>
    </row>
    <row r="21">
      <c r="A21" s="4" t="inlineStr">
        <is>
          <t>C1</t>
        </is>
      </c>
      <c r="B21" s="4" t="n">
        <v>3</v>
      </c>
      <c r="C21" s="4" t="n">
        <v>10</v>
      </c>
      <c r="D21" s="4" t="inlineStr">
        <is>
          <t>KCl 1 mol/l</t>
        </is>
      </c>
      <c r="E21" s="4" t="n">
        <v>6</v>
      </c>
      <c r="F21" s="5" t="n"/>
      <c r="G21" s="5" t="n"/>
      <c r="H21" s="5" t="n"/>
      <c r="I21" s="5" t="n"/>
      <c r="J21" s="5" t="n"/>
      <c r="K21" s="5" t="n"/>
      <c r="L21" s="6">
        <f>IF(H21&gt;0,(I21+J21)/2/H21,"")</f>
        <v/>
      </c>
      <c r="M21" s="6">
        <f>IF(AND(K21&gt;0,I21&gt;J21),L21*K21/(I21-J21),"")</f>
        <v/>
      </c>
      <c r="N21" s="6">
        <f>IF(M21&lt;&gt;"",0.5*M21*G21^2,"")</f>
        <v/>
      </c>
      <c r="O21" s="5" t="n"/>
      <c r="P21" s="7">
        <f>IF(AND(G21&gt;0,O21&lt;&gt;""),(G21-O21)/G21,"")</f>
        <v/>
      </c>
      <c r="Q21" s="8" t="n"/>
      <c r="R21" s="7">
        <f>IF(AND(M21&lt;&gt;"",Q21&lt;&gt;""),(M21-Q21)/M21,"")</f>
        <v/>
      </c>
      <c r="S21" s="5" t="n"/>
    </row>
    <row r="23">
      <c r="A23" s="9" t="inlineStr">
        <is>
          <t>Auswertung je Variante</t>
        </is>
      </c>
    </row>
    <row r="24">
      <c r="A24" s="10" t="inlineStr">
        <is>
          <t>Variante</t>
        </is>
      </c>
      <c r="B24" s="10" t="inlineStr">
        <is>
          <t>Ruß [%]</t>
        </is>
      </c>
      <c r="C24" s="10" t="inlineStr">
        <is>
          <t>Elektrolyt</t>
        </is>
      </c>
      <c r="D24" s="10" t="inlineStr">
        <is>
          <t>Dicke [mm]</t>
        </is>
      </c>
      <c r="E24" s="10" t="inlineStr">
        <is>
          <t>C Mittel [F]</t>
        </is>
      </c>
      <c r="F24" s="10" t="inlineStr">
        <is>
          <t>E Mittel [Ws]</t>
        </is>
      </c>
      <c r="G24" s="10" t="inlineStr">
        <is>
          <t>Selbstentl. Mittel [%]</t>
        </is>
      </c>
    </row>
    <row r="25">
      <c r="A25" s="11" t="inlineStr">
        <is>
          <t>A1</t>
        </is>
      </c>
      <c r="B25" s="11" t="n">
        <v>5</v>
      </c>
      <c r="C25" s="11" t="inlineStr">
        <is>
          <t>KCl 1 mol/l</t>
        </is>
      </c>
      <c r="D25" s="11" t="n">
        <v>3</v>
      </c>
      <c r="E25" s="6">
        <f>IFERROR(AVERAGEIF($A$4:$A$21,A25,$M$4:$M$21),"")</f>
        <v/>
      </c>
      <c r="F25" s="6">
        <f>IFERROR(AVERAGEIF($A$4:$A$21,A25,$N$4:$N$21),"")</f>
        <v/>
      </c>
      <c r="G25" s="7">
        <f>IFERROR(AVERAGEIF($A$4:$A$21,A25,$P$4:$P$21),"")</f>
        <v/>
      </c>
    </row>
    <row r="26">
      <c r="A26" s="11" t="inlineStr">
        <is>
          <t>A2</t>
        </is>
      </c>
      <c r="B26" s="11" t="n">
        <v>10</v>
      </c>
      <c r="C26" s="11" t="inlineStr">
        <is>
          <t>KCl 1 mol/l</t>
        </is>
      </c>
      <c r="D26" s="11" t="n">
        <v>3</v>
      </c>
      <c r="E26" s="6">
        <f>IFERROR(AVERAGEIF($A$4:$A$21,A26,$M$4:$M$21),"")</f>
        <v/>
      </c>
      <c r="F26" s="6">
        <f>IFERROR(AVERAGEIF($A$4:$A$21,A26,$N$4:$N$21),"")</f>
        <v/>
      </c>
      <c r="G26" s="7">
        <f>IFERROR(AVERAGEIF($A$4:$A$21,A26,$P$4:$P$21),"")</f>
        <v/>
      </c>
    </row>
    <row r="27">
      <c r="A27" s="11" t="inlineStr">
        <is>
          <t>A3</t>
        </is>
      </c>
      <c r="B27" s="11" t="n">
        <v>15</v>
      </c>
      <c r="C27" s="11" t="inlineStr">
        <is>
          <t>KCl 1 mol/l</t>
        </is>
      </c>
      <c r="D27" s="11" t="n">
        <v>3</v>
      </c>
      <c r="E27" s="6">
        <f>IFERROR(AVERAGEIF($A$4:$A$21,A27,$M$4:$M$21),"")</f>
        <v/>
      </c>
      <c r="F27" s="6">
        <f>IFERROR(AVERAGEIF($A$4:$A$21,A27,$N$4:$N$21),"")</f>
        <v/>
      </c>
      <c r="G27" s="7">
        <f>IFERROR(AVERAGEIF($A$4:$A$21,A27,$P$4:$P$21),"")</f>
        <v/>
      </c>
    </row>
    <row r="28">
      <c r="A28" s="11" t="inlineStr">
        <is>
          <t>B1</t>
        </is>
      </c>
      <c r="B28" s="11" t="n">
        <v>10</v>
      </c>
      <c r="C28" s="11" t="inlineStr">
        <is>
          <t>KCl gesättigt</t>
        </is>
      </c>
      <c r="D28" s="11" t="n">
        <v>3</v>
      </c>
      <c r="E28" s="6">
        <f>IFERROR(AVERAGEIF($A$4:$A$21,A28,$M$4:$M$21),"")</f>
        <v/>
      </c>
      <c r="F28" s="6">
        <f>IFERROR(AVERAGEIF($A$4:$A$21,A28,$N$4:$N$21),"")</f>
        <v/>
      </c>
      <c r="G28" s="7">
        <f>IFERROR(AVERAGEIF($A$4:$A$21,A28,$P$4:$P$21),"")</f>
        <v/>
      </c>
    </row>
    <row r="29">
      <c r="A29" s="11" t="inlineStr">
        <is>
          <t>B2</t>
        </is>
      </c>
      <c r="B29" s="11" t="n">
        <v>10</v>
      </c>
      <c r="C29" s="11" t="inlineStr">
        <is>
          <t>Na2SO4 1 mol/l</t>
        </is>
      </c>
      <c r="D29" s="11" t="n">
        <v>3</v>
      </c>
      <c r="E29" s="6">
        <f>IFERROR(AVERAGEIF($A$4:$A$21,A29,$M$4:$M$21),"")</f>
        <v/>
      </c>
      <c r="F29" s="6">
        <f>IFERROR(AVERAGEIF($A$4:$A$21,A29,$N$4:$N$21),"")</f>
        <v/>
      </c>
      <c r="G29" s="7">
        <f>IFERROR(AVERAGEIF($A$4:$A$21,A29,$P$4:$P$21),"")</f>
        <v/>
      </c>
    </row>
    <row r="30">
      <c r="A30" s="11" t="inlineStr">
        <is>
          <t>C1</t>
        </is>
      </c>
      <c r="B30" s="11" t="n">
        <v>10</v>
      </c>
      <c r="C30" s="11" t="inlineStr">
        <is>
          <t>KCl 1 mol/l</t>
        </is>
      </c>
      <c r="D30" s="11" t="n">
        <v>6</v>
      </c>
      <c r="E30" s="6">
        <f>IFERROR(AVERAGEIF($A$4:$A$21,A30,$M$4:$M$21),"")</f>
        <v/>
      </c>
      <c r="F30" s="6">
        <f>IFERROR(AVERAGEIF($A$4:$A$21,A30,$N$4:$N$21),"")</f>
        <v/>
      </c>
      <c r="G30" s="7">
        <f>IFERROR(AVERAGEIF($A$4:$A$21,A30,$P$4:$P$21),"")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0" customWidth="1" min="3" max="3"/>
  </cols>
  <sheetData>
    <row r="1">
      <c r="A1" s="12" t="inlineStr">
        <is>
          <t>Material</t>
        </is>
      </c>
      <c r="B1" s="12" t="inlineStr">
        <is>
          <t>Menge</t>
        </is>
      </c>
      <c r="C1" s="12" t="inlineStr">
        <is>
          <t>Hinweis</t>
        </is>
      </c>
    </row>
    <row r="2">
      <c r="A2" s="13" t="inlineStr">
        <is>
          <t>Portlandzement CEM I 42,5</t>
        </is>
      </c>
      <c r="B2" s="13" t="inlineStr">
        <is>
          <t>1 kg</t>
        </is>
      </c>
      <c r="C2" s="13" t="inlineStr">
        <is>
          <t>feiner Zement, kein Estrichzement</t>
        </is>
      </c>
    </row>
    <row r="3">
      <c r="A3" s="13" t="inlineStr">
        <is>
          <t>Ruß (Carbon Black), z.B. Ketjenblack EC-600JD / Vulcan XC72</t>
        </is>
      </c>
      <c r="B3" s="13" t="inlineStr">
        <is>
          <t>50–150 g (5–15 % v. Zement)</t>
        </is>
      </c>
      <c r="C3" s="13" t="inlineStr">
        <is>
          <t>Pigment-Ruß aus dem Baumarkt funktioniert schlecht</t>
        </is>
      </c>
    </row>
    <row r="4">
      <c r="A4" s="13" t="inlineStr">
        <is>
          <t>Wasser</t>
        </is>
      </c>
      <c r="B4" s="13" t="inlineStr">
        <is>
          <t>ca. 450 ml (w/z = 0,45)</t>
        </is>
      </c>
      <c r="C4" s="13" t="inlineStr">
        <is>
          <t>plus Fließmittel (PCE)</t>
        </is>
      </c>
    </row>
    <row r="5">
      <c r="A5" s="13" t="inlineStr">
        <is>
          <t>Kaliumchlorid KCl</t>
        </is>
      </c>
      <c r="B5" s="13" t="inlineStr">
        <is>
          <t>75 g/l = 1 mol/l</t>
        </is>
      </c>
      <c r="C5" s="13" t="inlineStr">
        <is>
          <t>gesättigt: ca. 340 g/l</t>
        </is>
      </c>
    </row>
    <row r="6">
      <c r="A6" s="13" t="inlineStr">
        <is>
          <t>Natriumsulfat Na2SO4</t>
        </is>
      </c>
      <c r="B6" s="13" t="inlineStr">
        <is>
          <t>142 g/l = 1 mol/l</t>
        </is>
      </c>
      <c r="C6" s="13" t="inlineStr">
        <is>
          <t>Vergleichs-Elektrolyt</t>
        </is>
      </c>
    </row>
    <row r="7">
      <c r="A7" s="13" t="inlineStr">
        <is>
          <t>Stromableiter</t>
        </is>
      </c>
      <c r="B7" s="13" t="inlineStr">
        <is>
          <t>2 je Zelle, 10×10 cm</t>
        </is>
      </c>
      <c r="C7" s="13" t="inlineStr">
        <is>
          <t>Edelstahlgewebe V4A oder Karbonvlies; kein Kupfer/Alu</t>
        </is>
      </c>
    </row>
    <row r="8">
      <c r="A8" s="13" t="inlineStr">
        <is>
          <t>Separator</t>
        </is>
      </c>
      <c r="B8" s="13" t="inlineStr">
        <is>
          <t>1 je Zelle</t>
        </is>
      </c>
      <c r="C8" s="13" t="inlineStr">
        <is>
          <t>Glasfaservlies oder Filterpapier, im Elektrolyt getränkt</t>
        </is>
      </c>
    </row>
    <row r="9">
      <c r="A9" s="13" t="inlineStr">
        <is>
          <t>Form</t>
        </is>
      </c>
      <c r="B9" s="13" t="inlineStr">
        <is>
          <t>10×10 cm, 3 bzw. 6 mm tief</t>
        </is>
      </c>
      <c r="C9" s="13" t="inlineStr">
        <is>
          <t>Silikon oder PP</t>
        </is>
      </c>
    </row>
    <row r="10">
      <c r="A10" s="13" t="n"/>
      <c r="B10" s="13" t="n"/>
      <c r="C10" s="13" t="n"/>
    </row>
    <row r="11">
      <c r="A11" s="12" t="inlineStr">
        <is>
          <t>Ablauf</t>
        </is>
      </c>
      <c r="B11" s="13" t="n"/>
      <c r="C11" s="13" t="n"/>
    </row>
    <row r="12">
      <c r="A12" s="13" t="inlineStr">
        <is>
          <t>1</t>
        </is>
      </c>
      <c r="B12" s="13" t="inlineStr">
        <is>
          <t>Ruß + Wasser + Fließmittel 2 min mit Stabmixer dispergieren (FFP2-Maske)</t>
        </is>
      </c>
      <c r="C12" s="13" t="n"/>
    </row>
    <row r="13">
      <c r="A13" s="13" t="inlineStr">
        <is>
          <t>2</t>
        </is>
      </c>
      <c r="B13" s="13" t="inlineStr">
        <is>
          <t>Zement einrühren, 3 min mischen</t>
        </is>
      </c>
      <c r="C13" s="13" t="n"/>
    </row>
    <row r="14">
      <c r="A14" s="13" t="inlineStr">
        <is>
          <t>3</t>
        </is>
      </c>
      <c r="B14" s="13" t="inlineStr">
        <is>
          <t>Gewebe in Form, Paste 3 mm (bzw. 6 mm) darauf, entlüften</t>
        </is>
      </c>
      <c r="C14" s="13" t="n"/>
    </row>
    <row r="15">
      <c r="A15" s="13" t="inlineStr">
        <is>
          <t>4</t>
        </is>
      </c>
      <c r="B15" s="13" t="inlineStr">
        <is>
          <t>7 Tage feucht in Folie aushärten</t>
        </is>
      </c>
      <c r="C15" s="13" t="n"/>
    </row>
    <row r="16">
      <c r="A16" s="13" t="inlineStr">
        <is>
          <t>5</t>
        </is>
      </c>
      <c r="B16" s="13" t="inlineStr">
        <is>
          <t>24 h im Elektrolyt tränken</t>
        </is>
      </c>
      <c r="C16" s="13" t="n"/>
    </row>
    <row r="17">
      <c r="A17" s="13" t="inlineStr">
        <is>
          <t>6</t>
        </is>
      </c>
      <c r="B17" s="13" t="inlineStr">
        <is>
          <t>Sandwich Elektrode–Separator–Elektrode, leicht pressen, Rand mit Silikon abdichten</t>
        </is>
      </c>
      <c r="C17" s="13" t="n"/>
    </row>
    <row r="18">
      <c r="A18" s="13" t="n"/>
      <c r="B18" s="13" t="n"/>
      <c r="C18" s="13" t="n"/>
    </row>
    <row r="19">
      <c r="A19" s="12" t="inlineStr">
        <is>
          <t>Messung</t>
        </is>
      </c>
      <c r="B19" s="13" t="n"/>
      <c r="C19" s="13" t="n"/>
    </row>
    <row r="20">
      <c r="A20" s="13" t="inlineStr">
        <is>
          <t>Laden</t>
        </is>
      </c>
      <c r="B20" s="13" t="inlineStr">
        <is>
          <t>Netzteil 1,0 V (nicht höher, sonst Gasbildung), Strombegrenzung 50 mA, 30 min</t>
        </is>
      </c>
      <c r="C20" s="13" t="n"/>
    </row>
    <row r="21">
      <c r="A21" s="13" t="inlineStr">
        <is>
          <t>Entladen</t>
        </is>
      </c>
      <c r="B21" s="13" t="inlineStr">
        <is>
          <t>über Widerstand (z.B. 10 Ω), Zeit von 0,8 V bis 0,4 V stoppen</t>
        </is>
      </c>
      <c r="C21" s="13" t="n"/>
    </row>
    <row r="22">
      <c r="A22" s="13" t="inlineStr">
        <is>
          <t>Selbstentladung</t>
        </is>
      </c>
      <c r="B22" s="13" t="inlineStr">
        <is>
          <t>1 h nach Laden Leerlaufspannung messen</t>
        </is>
      </c>
      <c r="C22" s="13" t="n"/>
    </row>
    <row r="23">
      <c r="A23" s="13" t="inlineStr">
        <is>
          <t>Zyklen</t>
        </is>
      </c>
      <c r="B23" s="13" t="inlineStr">
        <is>
          <t>50× laden/entladen, dann Kapazität erneut messen</t>
        </is>
      </c>
      <c r="C23" s="13" t="n"/>
    </row>
    <row r="24">
      <c r="A24" s="13" t="n"/>
      <c r="B24" s="13" t="n"/>
      <c r="C24" s="13" t="n"/>
    </row>
    <row r="25">
      <c r="A25" s="13" t="inlineStr">
        <is>
          <t>Erwartung (Hobby, KCl)</t>
        </is>
      </c>
      <c r="B25" s="13" t="inlineStr">
        <is>
          <t>0,5–5 F je Zelle; MIT erreicht ca. 50 F bei 12 V mit optimiertem Elektrolyt</t>
        </is>
      </c>
      <c r="C25" s="13" t="n"/>
    </row>
    <row r="26">
      <c r="A26" s="13" t="inlineStr">
        <is>
          <t>Quelle</t>
        </is>
      </c>
      <c r="B26" s="13" t="inlineStr">
        <is>
          <t>MIT News 1.10.2025, PNAS 2025 (carbon–cement supercapacitors)</t>
        </is>
      </c>
      <c r="C2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2026-09-27T17:53:47Z</dcterms:created>
  <dcterms:modified xsi:type="dcterms:W3CDTF">2026-09-27T17:53:47Z</dcterms:modified>
</cp:coreProperties>
</file>